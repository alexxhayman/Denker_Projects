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lam-my.sharepoint.com/personal/alex_denkercapital_com/Documents/#1 Denker Capital/Research/Assets Under Management - South Africa/Global Funds/"/>
    </mc:Choice>
  </mc:AlternateContent>
  <xr:revisionPtr revIDLastSave="69" documentId="11_5BC0051216D2B7C22E88E1A306832444A1833619" xr6:coauthVersionLast="47" xr6:coauthVersionMax="47" xr10:uidLastSave="{3A81FC41-1BC4-4D16-A10A-44A1DDCD3A77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1" l="1"/>
  <c r="L22" i="1"/>
  <c r="K16" i="1"/>
  <c r="O9" i="1"/>
  <c r="N10" i="1"/>
  <c r="O10" i="1"/>
  <c r="O12" i="1"/>
  <c r="N12" i="1"/>
  <c r="N9" i="1"/>
  <c r="C12" i="1"/>
  <c r="D12" i="1"/>
  <c r="E12" i="1"/>
  <c r="F12" i="1"/>
  <c r="G12" i="1"/>
  <c r="H12" i="1"/>
  <c r="I12" i="1"/>
  <c r="J12" i="1"/>
  <c r="K12" i="1"/>
  <c r="L12" i="1"/>
  <c r="B12" i="1"/>
</calcChain>
</file>

<file path=xl/sharedStrings.xml><?xml version="1.0" encoding="utf-8"?>
<sst xmlns="http://schemas.openxmlformats.org/spreadsheetml/2006/main" count="24" uniqueCount="23">
  <si>
    <t>Morningstar Asset Flows</t>
  </si>
  <si>
    <t>Eff Date: 2015-01-01 to 2025-12-31</t>
  </si>
  <si>
    <t>South Africa Open-end (AFS)</t>
  </si>
  <si>
    <t>Currency: ZAR</t>
  </si>
  <si>
    <t>Periodicity: Calendar Year</t>
  </si>
  <si>
    <t>Exported: 30-Jan-2026 2:42 CDT</t>
  </si>
  <si>
    <t>Institutional</t>
  </si>
  <si>
    <t/>
  </si>
  <si>
    <t>Total Net Assets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</si>
  <si>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</si>
  <si>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</si>
  <si>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</si>
  <si>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</si>
  <si>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</si>
  <si>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</si>
  <si>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</si>
  <si>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</si>
  <si>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</si>
  <si>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</si>
  <si>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</si>
  <si>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Retail</t>
  </si>
  <si>
    <t>5yr CAGR</t>
  </si>
  <si>
    <t>10yr CAGR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</si>
</sst>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4" x14ac:knownFonts="1">
    <font>
      <sz val="11"/>
      <name val="Calibri"/>
    </font>
    <font>
      <sz val="10"/>
      <name val="Arial"/>
    </font>
    <font>
      <b/>
      <sz val="10"/>
      <name val="Arial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164" fontId="1" fillId="0" borderId="0" xfId="0" applyNumberFormat="1" applyFont="1" applyAlignment="1">
      <alignment horizontal="right"/>
    </xf>
    <xf numFmtId="164" fontId="2" fillId="0" borderId="0" xfId="0" applyNumberFormat="1" applyFont="1"/>
    <xf numFmtId="0" fontId="0" fillId="0" borderId="0" xfId="0" applyAlignment="1">
      <alignment horizontal="center"/>
    </xf>
    <xf numFmtId="9" fontId="0" fillId="0" borderId="0" xfId="1" applyFont="1"/>
    <xf numFmtId="10" fontId="1" fillId="0" borderId="0" xfId="1" applyNumberFormat="1" applyFont="1"/>
    <xf numFmtId="10" fontId="0" fillId="0" borderId="0" xfId="1" applyNumberFormat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#,##0;\(#,##0\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#,##0;\(#,##0\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#,##0;\(#,##0\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#,##0;\(#,##0\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#,##0;\(#,##0\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#,##0;\(#,##0\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#,##0;\(#,##0\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#,##0;\(#,##0\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#,##0;\(#,##0\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#,##0;\(#,##0\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#,##0;\(#,##0\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Growth in Total Net Assets (Global and Local) in South Africa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Sheet1!$A$9</c:f>
              <c:strCache>
                <c:ptCount val="1"/>
                <c:pt idx="0">
                  <c:v>Institutional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Sheet1!$B$8:$L$8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Sheet1!$B$9:$L$9</c:f>
              <c:numCache>
                <c:formatCode>#,##0;\(#,##0\)</c:formatCode>
                <c:ptCount val="11"/>
                <c:pt idx="0">
                  <c:v>2685916245283</c:v>
                </c:pt>
                <c:pt idx="1">
                  <c:v>2777232453598</c:v>
                </c:pt>
                <c:pt idx="2">
                  <c:v>3206874167095</c:v>
                </c:pt>
                <c:pt idx="3">
                  <c:v>3834204116343</c:v>
                </c:pt>
                <c:pt idx="4">
                  <c:v>4710054261188</c:v>
                </c:pt>
                <c:pt idx="5">
                  <c:v>5400224335183</c:v>
                </c:pt>
                <c:pt idx="6">
                  <c:v>6204182105930</c:v>
                </c:pt>
                <c:pt idx="7">
                  <c:v>6176484685162</c:v>
                </c:pt>
                <c:pt idx="8">
                  <c:v>7013263370722</c:v>
                </c:pt>
                <c:pt idx="9">
                  <c:v>7817437235696</c:v>
                </c:pt>
                <c:pt idx="10">
                  <c:v>8348665520048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34-4CC0-AA08-FB1CF1B29338}"/>
            </c:ext>
          </c:extLst>
        </c:ser>
        <c:ser>
          <c:idx val="1"/>
          <c:order val="1"/>
          <c:tx>
            <c:strRef>
              <c:f>Sheet1!$A$10</c:f>
              <c:strCache>
                <c:ptCount val="1"/>
                <c:pt idx="0">
                  <c:v>Retail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Sheet1!$B$8:$L$8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Sheet1!$B$10:$L$10</c:f>
              <c:numCache>
                <c:formatCode>#,##0;\(#,##0\)</c:formatCode>
                <c:ptCount val="11"/>
                <c:pt idx="0">
                  <c:v>3415230521785</c:v>
                </c:pt>
                <c:pt idx="1">
                  <c:v>3064410409406</c:v>
                </c:pt>
                <c:pt idx="2">
                  <c:v>3298142154274</c:v>
                </c:pt>
                <c:pt idx="3">
                  <c:v>3520960026098</c:v>
                </c:pt>
                <c:pt idx="4">
                  <c:v>3884931700336</c:v>
                </c:pt>
                <c:pt idx="5">
                  <c:v>4391830209832</c:v>
                </c:pt>
                <c:pt idx="6">
                  <c:v>5715585991602</c:v>
                </c:pt>
                <c:pt idx="7">
                  <c:v>5115750707809</c:v>
                </c:pt>
                <c:pt idx="8">
                  <c:v>6418403906053</c:v>
                </c:pt>
                <c:pt idx="9">
                  <c:v>7087051826925</c:v>
                </c:pt>
                <c:pt idx="10">
                  <c:v>7534447932543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34-4CC0-AA08-FB1CF1B29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6147519"/>
        <c:axId val="1726161919"/>
      </c:lineChart>
      <c:catAx>
        <c:axId val="1726147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161919"/>
        <c:crosses val="autoZero"/>
        <c:auto val="1"/>
        <c:lblAlgn val="ctr"/>
        <c:lblOffset val="100"/>
        <c:noMultiLvlLbl val="0"/>
      </c:catAx>
      <c:valAx>
        <c:axId val="172616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147519"/>
        <c:crosses val="autoZero"/>
        <c:crossBetween val="between"/>
        <c:dispUnits>
          <c:builtInUnit val="trillions"/>
          <c:dispUnitsLbl>
            <c:layout>
              <c:manualLayout>
                <c:xMode val="edge"/>
                <c:yMode val="edge"/>
                <c:x val="1.2556053811659192E-2"/>
                <c:y val="0.41678159440277285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331107</xdr:colOff>
      <xdr:row>13</xdr:row>
      <xdr:rowOff>39005</xdr:rowOff>
    </xdr:from>
    <xdr:to>
      <xdr:col>6</xdr:col>
      <xdr:colOff>970642</xdr:colOff>
      <xdr:row>38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F4F5A0-F42C-8AE0-BA12-956D06F895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C754F9-5607-4EBE-9541-3CE122244B42}" name="Table1" displayName="Table1" ref="A8:L10" totalsRowShown="0" headerRowDxfId="0" dataDxfId="1">
  <autoFilter ref="A8:L10" xr:uid="{F9C754F9-5607-4EBE-9541-3CE122244B42}"/>
  <tableColumns count="12">
    <tableColumn id="1" xr3:uid="{6B51D36F-110A-48E9-87DF-2413D770226A}" name="Institutional" dataDxfId="13"/>
    <tableColumn id="2" xr3:uid="{6E10C638-5CA2-4958-9B21-56953B1FCA58}" name="2015" dataDxfId="12"/>
    <tableColumn id="3" xr3:uid="{0AB828AD-F492-435C-A6C5-284B0B28BC43}" name="2016" dataDxfId="11"/>
    <tableColumn id="4" xr3:uid="{410DA769-81E5-4C26-9BA2-24EABFA2CF37}" name="2017" dataDxfId="10"/>
    <tableColumn id="5" xr3:uid="{97F86655-E309-45B8-9765-3D4100C31F4A}" name="2018" dataDxfId="9"/>
    <tableColumn id="6" xr3:uid="{A7A16C49-FA0B-491D-A3BA-B6BA39A7FAB9}" name="2019" dataDxfId="8"/>
    <tableColumn id="7" xr3:uid="{C1945C6A-4E35-43ED-A447-BC294C033CB9}" name="2020" dataDxfId="7"/>
    <tableColumn id="8" xr3:uid="{93EDD9CD-1658-483A-AECC-A03EE70B0F98}" name="2021" dataDxfId="6"/>
    <tableColumn id="9" xr3:uid="{07C43E71-02C8-4456-B507-590E4D914E35}" name="2022" dataDxfId="5"/>
    <tableColumn id="10" xr3:uid="{87894F24-32B7-427A-9EA9-71F144C3696E}" name="2023" dataDxfId="4"/>
    <tableColumn id="11" xr3:uid="{CA4DC207-A5DC-45FD-8D6F-7533CF07E86D}" name="2024" dataDxfId="3"/>
    <tableColumn id="12" xr3:uid="{49962CDD-0A2A-45A5-8824-F0A5BCCDE521}" name="2025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topLeftCell="D4" zoomScale="70" zoomScaleNormal="70" workbookViewId="0">
      <selection activeCell="L16" sqref="L16"/>
    </sheetView>
  </sheetViews>
  <sheetFormatPr defaultRowHeight="14.5" x14ac:dyDescent="0.35"/>
  <cols>
    <col min="1" max="1" width="40" customWidth="1"/>
    <col min="2" max="12" width="24.1796875" customWidth="1"/>
  </cols>
  <sheetData>
    <row r="1" spans="1:15" s="2" customFormat="1" ht="13" x14ac:dyDescent="0.3">
      <c r="A1" s="2" t="s">
        <v>0</v>
      </c>
    </row>
    <row r="2" spans="1:15" s="2" customFormat="1" ht="13" x14ac:dyDescent="0.3">
      <c r="A2" s="2" t="s">
        <v>1</v>
      </c>
    </row>
    <row r="3" spans="1:15" s="2" customFormat="1" ht="13" x14ac:dyDescent="0.3">
      <c r="A3" s="2" t="s">
        <v>2</v>
      </c>
    </row>
    <row r="4" spans="1:15" s="2" customFormat="1" ht="13" x14ac:dyDescent="0.3">
      <c r="A4" s="2" t="s">
        <v>3</v>
      </c>
    </row>
    <row r="5" spans="1:15" s="2" customFormat="1" ht="13" x14ac:dyDescent="0.3">
      <c r="A5" s="2" t="s">
        <v>4</v>
      </c>
    </row>
    <row r="6" spans="1:15" s="2" customFormat="1" ht="13" x14ac:dyDescent="0.3">
      <c r="A6" s="2" t="s">
        <v>5</v>
      </c>
    </row>
    <row r="7" spans="1:15" x14ac:dyDescent="0.35">
      <c r="B7" s="6" t="s">
        <v>8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1:15" s="3" customFormat="1" ht="26" x14ac:dyDescent="0.3">
      <c r="A8" s="3" t="s">
        <v>6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  <c r="I8" s="3" t="s">
        <v>16</v>
      </c>
      <c r="J8" s="3" t="s">
        <v>17</v>
      </c>
      <c r="K8" s="3" t="s">
        <v>18</v>
      </c>
      <c r="L8" s="3" t="s">
        <v>19</v>
      </c>
      <c r="N8" s="3" t="s">
        <v>21</v>
      </c>
      <c r="O8" s="3" t="s">
        <v>22</v>
      </c>
    </row>
    <row r="9" spans="1:15" s="1" customFormat="1" ht="12.5" x14ac:dyDescent="0.25">
      <c r="A9" s="1" t="s">
        <v>6</v>
      </c>
      <c r="B9" s="4">
        <v>2685916245283</v>
      </c>
      <c r="C9" s="4">
        <v>2777232453598</v>
      </c>
      <c r="D9" s="4">
        <v>3206874167095</v>
      </c>
      <c r="E9" s="4">
        <v>3834204116343</v>
      </c>
      <c r="F9" s="4">
        <v>4710054261188</v>
      </c>
      <c r="G9" s="4">
        <v>5400224335183</v>
      </c>
      <c r="H9" s="4">
        <v>6204182105930</v>
      </c>
      <c r="I9" s="4">
        <v>6176484685162</v>
      </c>
      <c r="J9" s="4">
        <v>7013263370722</v>
      </c>
      <c r="K9" s="4">
        <v>7817437235696</v>
      </c>
      <c r="L9" s="4">
        <v>8348665520048</v>
      </c>
      <c r="N9" s="8">
        <f>(Table1[[#This Row],[2025]]/Table1[[#This Row],[2020]])^(1/5)-1</f>
        <v>9.1040952024775912E-2</v>
      </c>
      <c r="O9" s="8">
        <f>(Table1[[#This Row],[2025]]/Table1[[#This Row],[2015]])^(1/10)-1</f>
        <v>0.1200888127335753</v>
      </c>
    </row>
    <row r="10" spans="1:15" s="1" customFormat="1" ht="12.5" x14ac:dyDescent="0.25">
      <c r="A10" s="1" t="s">
        <v>20</v>
      </c>
      <c r="B10" s="4">
        <v>3415230521785</v>
      </c>
      <c r="C10" s="4">
        <v>3064410409406</v>
      </c>
      <c r="D10" s="4">
        <v>3298142154274</v>
      </c>
      <c r="E10" s="4">
        <v>3520960026098</v>
      </c>
      <c r="F10" s="4">
        <v>3884931700336</v>
      </c>
      <c r="G10" s="4">
        <v>4391830209832</v>
      </c>
      <c r="H10" s="4">
        <v>5715585991602</v>
      </c>
      <c r="I10" s="4">
        <v>5115750707809</v>
      </c>
      <c r="J10" s="4">
        <v>6418403906053</v>
      </c>
      <c r="K10" s="4">
        <v>7087051826925</v>
      </c>
      <c r="L10" s="4">
        <v>7534447932543</v>
      </c>
      <c r="N10" s="8">
        <f>(Table1[[#This Row],[2025]]/Table1[[#This Row],[2020]])^(1/5)-1</f>
        <v>0.11398970898042005</v>
      </c>
      <c r="O10" s="8">
        <f>(Table1[[#This Row],[2025]]/Table1[[#This Row],[2015]])^(1/10)-1</f>
        <v>8.2338585295371747E-2</v>
      </c>
    </row>
    <row r="11" spans="1:15" x14ac:dyDescent="0.35">
      <c r="A11" t="s">
        <v>7</v>
      </c>
      <c r="N11" s="8"/>
      <c r="O11" s="9"/>
    </row>
    <row r="12" spans="1:15" s="2" customFormat="1" ht="13" x14ac:dyDescent="0.3">
      <c r="B12" s="5">
        <f>SUM(B9:B10)</f>
        <v>6101146767068</v>
      </c>
      <c r="C12" s="5">
        <f t="shared" ref="C12:L12" si="0">SUM(C9:C10)</f>
        <v>5841642863004</v>
      </c>
      <c r="D12" s="5">
        <f t="shared" si="0"/>
        <v>6505016321369</v>
      </c>
      <c r="E12" s="5">
        <f t="shared" si="0"/>
        <v>7355164142441</v>
      </c>
      <c r="F12" s="5">
        <f t="shared" si="0"/>
        <v>8594985961524</v>
      </c>
      <c r="G12" s="5">
        <f t="shared" si="0"/>
        <v>9792054545015</v>
      </c>
      <c r="H12" s="5">
        <f t="shared" si="0"/>
        <v>11919768097532</v>
      </c>
      <c r="I12" s="5">
        <f t="shared" si="0"/>
        <v>11292235392971</v>
      </c>
      <c r="J12" s="5">
        <f t="shared" si="0"/>
        <v>13431667276775</v>
      </c>
      <c r="K12" s="5">
        <f t="shared" si="0"/>
        <v>14904489062621</v>
      </c>
      <c r="L12" s="5">
        <f t="shared" si="0"/>
        <v>15883113452591</v>
      </c>
      <c r="N12" s="8">
        <f>(L12/G12)^(1/5)-1</f>
        <v>0.10157066689027716</v>
      </c>
      <c r="O12" s="8">
        <f>(L12/B12)^(1/10)-1</f>
        <v>0.10040464909562963</v>
      </c>
    </row>
    <row r="13" spans="1:15" x14ac:dyDescent="0.35">
      <c r="N13" s="7"/>
      <c r="O13" s="7"/>
    </row>
    <row r="16" spans="1:15" x14ac:dyDescent="0.35">
      <c r="K16" s="9">
        <f>(L12/I12)^(1/3)-1</f>
        <v>0.12043131504537885</v>
      </c>
      <c r="L16" s="9">
        <f>(L12/H12)^(1/4)-1</f>
        <v>7.4402370772929327E-2</v>
      </c>
    </row>
    <row r="17" spans="12:12" x14ac:dyDescent="0.35">
      <c r="L17" s="9"/>
    </row>
    <row r="22" spans="12:12" x14ac:dyDescent="0.35">
      <c r="L22" s="10">
        <f>L12-I12</f>
        <v>4590878059620</v>
      </c>
    </row>
  </sheetData>
  <mergeCells count="1">
    <mergeCell ref="B7:L7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Hayman (Denker)</cp:lastModifiedBy>
  <dcterms:modified xsi:type="dcterms:W3CDTF">2026-01-30T08:56:56Z</dcterms:modified>
</cp:coreProperties>
</file>