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lam-my.sharepoint.com/personal/alex_denkercapital_com/Documents/#1 Denker Capital/Research/Assets Under Management - South Africa/Global Funds/"/>
    </mc:Choice>
  </mc:AlternateContent>
  <xr:revisionPtr revIDLastSave="146" documentId="11_D8DB84A295E78162A1D415A104832444318B5B9B" xr6:coauthVersionLast="47" xr6:coauthVersionMax="47" xr10:uidLastSave="{59B6CD02-EB83-4BFC-993A-7732A2A45DE7}"/>
  <bookViews>
    <workbookView xWindow="28680" yWindow="-120" windowWidth="29040" windowHeight="16440" activeTab="2" xr2:uid="{00000000-000D-0000-FFFF-FFFF00000000}"/>
  </bookViews>
  <sheets>
    <sheet name="Sheet2" sheetId="2" r:id="rId1"/>
    <sheet name="Sheet4" sheetId="4" r:id="rId2"/>
    <sheet name="Sheet1" sheetId="1" r:id="rId3"/>
  </sheet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27" i="1"/>
  <c r="M28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</calcChain>
</file>

<file path=xl/sharedStrings.xml><?xml version="1.0" encoding="utf-8"?>
<sst xmlns="http://schemas.openxmlformats.org/spreadsheetml/2006/main" count="3351" uniqueCount="528">
  <si>
    <t>Morningstar Asset Flows</t>
  </si>
  <si>
    <t>Eff Date: 2015-01-01 to 2025-12-31</t>
  </si>
  <si>
    <t>South Africa Open-end (AFS)</t>
  </si>
  <si>
    <t>Currency: ZAR</t>
  </si>
  <si>
    <t>Periodicity: Calendar Year</t>
  </si>
  <si>
    <t>Exported: 30-Jan-2026 2:57 CDT</t>
  </si>
  <si>
    <t>Fund Family</t>
  </si>
  <si>
    <t>Estimated Net Flow 2015</t>
  </si>
  <si>
    <t>Estimated Net Flow 2016</t>
  </si>
  <si>
    <t>Estimated Net Flow 2017</t>
  </si>
  <si>
    <t>Estimated Net Flow 2018</t>
  </si>
  <si>
    <t>Estimated Net Flow 2019</t>
  </si>
  <si>
    <t>Estimated Net Flow 2020</t>
  </si>
  <si>
    <t>Estimated Net Flow 2021</t>
  </si>
  <si>
    <t>Estimated Net Flow 2022</t>
  </si>
  <si>
    <t>Estimated Net Flow 2023</t>
  </si>
  <si>
    <t>Estimated Net Flow 2024</t>
  </si>
  <si>
    <t>Estimated Net Flow 2025</t>
  </si>
  <si>
    <t>Associated Portfolio Solutions (Pty) Ltd</t>
  </si>
  <si>
    <t>SouthChester Investment Managers</t>
  </si>
  <si>
    <t>STANLIB Uganda</t>
  </si>
  <si>
    <t/>
  </si>
  <si>
    <t>Metope Investment Managers (Pty) Ltd</t>
  </si>
  <si>
    <t>Terebinth Capital (Pty) Ltd</t>
  </si>
  <si>
    <t>Cratos Asset Management (Pty) Ltd</t>
  </si>
  <si>
    <t>Fibonacci Asset Management</t>
  </si>
  <si>
    <t>Old Mutual Wealth Trust Company (Pty) Ltd</t>
  </si>
  <si>
    <t>Colourfield Liability Solutions</t>
  </si>
  <si>
    <t>Cohesive Capital (Pty) Ltd</t>
  </si>
  <si>
    <t>Assetbase International (Pty) Ltd</t>
  </si>
  <si>
    <t>Capita Asset Management</t>
  </si>
  <si>
    <t>Providence Investment Partners</t>
  </si>
  <si>
    <t>Maestro Investment Management (Pty) Ltd</t>
  </si>
  <si>
    <t>Rock Capital Management</t>
  </si>
  <si>
    <t>Aeon Investment Management</t>
  </si>
  <si>
    <t>African Alliance Advisory (Pty) Ltd.</t>
  </si>
  <si>
    <t>Long Beach Capital (Pty) Ltd</t>
  </si>
  <si>
    <t>RSA Multi Asset Managers (Pty) Ltd</t>
  </si>
  <si>
    <t>Brantam Financial Services</t>
  </si>
  <si>
    <t>Cartesian Capital (Pty) Ltd</t>
  </si>
  <si>
    <t>Franklin Templeton Investments Corp</t>
  </si>
  <si>
    <t>Itransact Fund Managers</t>
  </si>
  <si>
    <t>Starfundsai</t>
  </si>
  <si>
    <t>M1 Capital Investments (Pty) Limited</t>
  </si>
  <si>
    <t>AssetMix Solutions</t>
  </si>
  <si>
    <t>Guernsey International Fund Management</t>
  </si>
  <si>
    <t>Argon Asset Management</t>
  </si>
  <si>
    <t>Pinnacle Wealth Management (Pty) Ltd</t>
  </si>
  <si>
    <t>Northstar Asset Management (Pty) Ltd</t>
  </si>
  <si>
    <t>Platinum Portfolios Global</t>
  </si>
  <si>
    <t>Perpetua Investment Managers</t>
  </si>
  <si>
    <t>Wealthworks Investments (Pty) Ltd</t>
  </si>
  <si>
    <t>Counterpoint Boutique Pty Ltd.</t>
  </si>
  <si>
    <t>Instit (Pty) Ltd</t>
  </si>
  <si>
    <t>Foster Wealth Management (Pty) Ltd</t>
  </si>
  <si>
    <t>Kruger International</t>
  </si>
  <si>
    <t>Altinvest MultiAsset Fund Management</t>
  </si>
  <si>
    <t>Omega Capital (Pty) Ltd</t>
  </si>
  <si>
    <t>Consilium Capital SA</t>
  </si>
  <si>
    <t>Custodian (Pty) Ltd</t>
  </si>
  <si>
    <t>Baroque Financial Services</t>
  </si>
  <si>
    <t>Atomos Investments Limited</t>
  </si>
  <si>
    <t>Quattro Fund Managers</t>
  </si>
  <si>
    <t>Harvard House Investment Management</t>
  </si>
  <si>
    <t>Montrose Asset Management</t>
  </si>
  <si>
    <t>Bovest Capital (Pty) Ltd</t>
  </si>
  <si>
    <t>Helfin Private Wealth (Pty) Ltd</t>
  </si>
  <si>
    <t>Imalivest (Pty) Ltd</t>
  </si>
  <si>
    <t>Aboutir Wealth (Pty) Ltd.</t>
  </si>
  <si>
    <t>Taquanta Asset Managers</t>
  </si>
  <si>
    <t>Vunani Fund Managers (Pty) Ltd</t>
  </si>
  <si>
    <t>Deton Private Wealth (Pty) Ltd</t>
  </si>
  <si>
    <t>Mergence Investment Managers</t>
  </si>
  <si>
    <t>Lynx Fund Managers (Pty) Ltd</t>
  </si>
  <si>
    <t>PFPS Asset Management (Pty) Ltd</t>
  </si>
  <si>
    <t>Novare Investments Pty Ltd</t>
  </si>
  <si>
    <t>Blue Quadrant Capital Management</t>
  </si>
  <si>
    <t>Dotport</t>
  </si>
  <si>
    <t>Mazi Asset Management (Pty) Ltd</t>
  </si>
  <si>
    <t>Caleo Capital</t>
  </si>
  <si>
    <t>X-Chequer Fund Management</t>
  </si>
  <si>
    <t>Efficient Select (Pty) Ltd</t>
  </si>
  <si>
    <t>Community Growth Mgmt Co</t>
  </si>
  <si>
    <t>FIM Capital Ltd</t>
  </si>
  <si>
    <t>Destiny Asset Managers</t>
  </si>
  <si>
    <t>FedGroup Management Company</t>
  </si>
  <si>
    <t>Momentum Securities (Pty) Ltd</t>
  </si>
  <si>
    <t>Corion Capital (Pty) Ltd</t>
  </si>
  <si>
    <t>NFB Asset Management (Pty) Limited</t>
  </si>
  <si>
    <t>Capita Asset Management (Pty) Ltd</t>
  </si>
  <si>
    <t>Sesfikile Capital</t>
  </si>
  <si>
    <t>Steyn Capital Management</t>
  </si>
  <si>
    <t>CS Asset Management</t>
  </si>
  <si>
    <t>First Avenue Investment Managers</t>
  </si>
  <si>
    <t>Element Investment Managers (Pty) Ltd</t>
  </si>
  <si>
    <t>Cordatus Capital (Pty) Ltd</t>
  </si>
  <si>
    <t>SA Asset Management</t>
  </si>
  <si>
    <t>Dinamika Fonds Bestuurders (Pty) Ltd</t>
  </si>
  <si>
    <t>Sanlam Private Wealth</t>
  </si>
  <si>
    <t>ALUWANI Capital Partners</t>
  </si>
  <si>
    <t>Obsidian Capital (Pty) Ltd</t>
  </si>
  <si>
    <t>Simplisiti Asset Management</t>
  </si>
  <si>
    <t>Accorn Investment Management</t>
  </si>
  <si>
    <t>Sarasin Investment Funds Ltd</t>
  </si>
  <si>
    <t>Palmyra Asset Management</t>
  </si>
  <si>
    <t>Plexus Wealth</t>
  </si>
  <si>
    <t>ClucasGray Asset Management</t>
  </si>
  <si>
    <t>All Weather Capital</t>
  </si>
  <si>
    <t>Quantum Fund Managers (Pty) Ltd</t>
  </si>
  <si>
    <t>Celtis Financial Services</t>
  </si>
  <si>
    <t>Aylett &amp; Company (Pty) Ltd</t>
  </si>
  <si>
    <t>Bateleur Capital (Pty) Ltd</t>
  </si>
  <si>
    <t>Tresor Wealth (Pty) Ltd</t>
  </si>
  <si>
    <t>Reitway Global (Pty) Ltd</t>
  </si>
  <si>
    <t>Methodical Investment Management</t>
  </si>
  <si>
    <t>Saffron Wealth (Pty) Ltd</t>
  </si>
  <si>
    <t>Dynasty Asset Management (South Africa)</t>
  </si>
  <si>
    <t>4D Wealth Management</t>
  </si>
  <si>
    <t>Optimum Investment Group (Pty) Ltd</t>
  </si>
  <si>
    <t>Cinnabar Investment Management (Pty) Ltd</t>
  </si>
  <si>
    <t>Arnold du Bruin and Associates</t>
  </si>
  <si>
    <t>MitonOptimal South Africa (Pty) Ltd</t>
  </si>
  <si>
    <t>BlueAlpha Investment Management Pty Ltd</t>
  </si>
  <si>
    <t>STANLIB Multi-Manager</t>
  </si>
  <si>
    <t>A S Sure Investment Services</t>
  </si>
  <si>
    <t>Platinum Portfolios (Pty) Ltd</t>
  </si>
  <si>
    <t>Momentum Mutual Fund ICC Limited</t>
  </si>
  <si>
    <t>Hollard Investment Managers</t>
  </si>
  <si>
    <t>Melville Douglas Investment Management</t>
  </si>
  <si>
    <t>PIM Capital (Guernsey) limited</t>
  </si>
  <si>
    <t>Allan Gray International Proprietary Limited</t>
  </si>
  <si>
    <t>Pangbourne Asset Management (Channel Islands) Limited</t>
  </si>
  <si>
    <t>Seraya Investment Pte.Ltd.</t>
  </si>
  <si>
    <t>Russell Investments Limited</t>
  </si>
  <si>
    <t>STANLIB Lesotho</t>
  </si>
  <si>
    <t>Matrix Fund Managers</t>
  </si>
  <si>
    <t>PI Investment Managers (Pty) Ltd</t>
  </si>
  <si>
    <t>Adviceworx (Pty) Ltd</t>
  </si>
  <si>
    <t>The Capital Incubator</t>
  </si>
  <si>
    <t>Seed Investment Consultants (Pty) Limited</t>
  </si>
  <si>
    <t>Stenham Asset Management (UK) plc</t>
  </si>
  <si>
    <t>Amity Investment Solutions (Pty) Ltd</t>
  </si>
  <si>
    <t>Southern Charter Fund Managers</t>
  </si>
  <si>
    <t>Analytics</t>
  </si>
  <si>
    <t>Gryphon Asset Management (Pty) Ltd</t>
  </si>
  <si>
    <t>Flagship Asset Management</t>
  </si>
  <si>
    <t>MiPlan Proprietary Limited</t>
  </si>
  <si>
    <t>H4 Collective Investments (RF) (Pty)Ltd</t>
  </si>
  <si>
    <t>IP Fund Managers Guernsey Limited</t>
  </si>
  <si>
    <t>Ci Global Fund Managers ICC Ltd</t>
  </si>
  <si>
    <t>S-BRO Fondsbestuurders</t>
  </si>
  <si>
    <t>Alexander Forbes Investments Jersey Limited</t>
  </si>
  <si>
    <t>Graviton Financial Partners</t>
  </si>
  <si>
    <t>Autus Fund Managers (Pty) Ltd</t>
  </si>
  <si>
    <t>Cederberg Capital Limited</t>
  </si>
  <si>
    <t>Orbis Investment Management (Luxembourg) S.A.</t>
  </si>
  <si>
    <t>Sasfin Asset Managers (Pty) Ltd</t>
  </si>
  <si>
    <t>PSG Fund Management (Malta) Limited</t>
  </si>
  <si>
    <t>Ranmore Fund Management LTD</t>
  </si>
  <si>
    <t>Driehaus Capital Management LLC</t>
  </si>
  <si>
    <t>Camissa Asset Management (Pty) Limited</t>
  </si>
  <si>
    <t>27four Investment Managers</t>
  </si>
  <si>
    <t>1nvest Fund Managers (Pty) Ltd</t>
  </si>
  <si>
    <t>Catalyst Fund Managers (Pty) Limited</t>
  </si>
  <si>
    <t>3B Asset Management</t>
  </si>
  <si>
    <t>Portfolio Bureau Investments</t>
  </si>
  <si>
    <t>Jupiter Asset Management (Europe) Limited</t>
  </si>
  <si>
    <t>Visio Fund Management (Pty) Ltd</t>
  </si>
  <si>
    <t>Sanlam Collective Investments</t>
  </si>
  <si>
    <t>Cadiz Asset Management</t>
  </si>
  <si>
    <t>Equilibrium Investment Management (Pty) Ltd</t>
  </si>
  <si>
    <t>FNB CIS Manco (Proprietary) Ltd</t>
  </si>
  <si>
    <t>Canaccord Genuity Wealth Management</t>
  </si>
  <si>
    <t>UBS Asset Management (Europe) S.A.</t>
  </si>
  <si>
    <t>Centaur Asset Management (Pty) Ltd</t>
  </si>
  <si>
    <t>Select Manager (Pty) Ltd</t>
  </si>
  <si>
    <t>Noble Private Portfolios</t>
  </si>
  <si>
    <t>Glacier Management Company</t>
  </si>
  <si>
    <t>Anchor Capital (Pty) Limited</t>
  </si>
  <si>
    <t>Alquity Investment Management Limited</t>
  </si>
  <si>
    <t>Marriott Isle of Man Ltd</t>
  </si>
  <si>
    <t>Portfolio Analytics Consulting (Pty) Ltd</t>
  </si>
  <si>
    <t>Guinness Asset Management Limited</t>
  </si>
  <si>
    <t>Fairtree Asset Management (Pty) Ltd.</t>
  </si>
  <si>
    <t>Stonehage Fleming Investment Management (South Africa) (Pty) Ltd</t>
  </si>
  <si>
    <t>FG Asset Management Ltd</t>
  </si>
  <si>
    <t>Ashmore Investment Management (Ireland) Limited</t>
  </si>
  <si>
    <t>Stone Harbor Investment Partners (AIFM) LLP</t>
  </si>
  <si>
    <t>Denker Capital</t>
  </si>
  <si>
    <t>Canaccord Genuity Wealth (Intl) Ltd</t>
  </si>
  <si>
    <t>Alexander Forbes Investment Ltd</t>
  </si>
  <si>
    <t>Jupiter Asset Management International S.A.</t>
  </si>
  <si>
    <t>Ninety One Guernsey Limited</t>
  </si>
  <si>
    <t>Amplify Investment Partners (Pty) Ltd</t>
  </si>
  <si>
    <t>Seilern International AG</t>
  </si>
  <si>
    <t>Satrix Managers (Pty) Limited</t>
  </si>
  <si>
    <t>Stonehage Fleming Investment Management Limited</t>
  </si>
  <si>
    <t>Ampersand Asset Management</t>
  </si>
  <si>
    <t>STANLIB Investment Management Services</t>
  </si>
  <si>
    <t>Pzena Investment Management Europe Limited</t>
  </si>
  <si>
    <t>Grant Thornton Capital (GTC)</t>
  </si>
  <si>
    <t>Allan Gray Bermuda Limited</t>
  </si>
  <si>
    <t>Laurium Capital (Pty) Ltd</t>
  </si>
  <si>
    <t>Sygnia Asset Management (Pty) Ltd</t>
  </si>
  <si>
    <t>PortfolioMetrix</t>
  </si>
  <si>
    <t>Merchant West Investments (Pty) Ltd</t>
  </si>
  <si>
    <t>Catalyst Fund Managers Global (Pty) Limited</t>
  </si>
  <si>
    <t>Apex Investment Consulting SA (Pty) Ltd</t>
  </si>
  <si>
    <t>Abax Investments Proprietary Limited</t>
  </si>
  <si>
    <t>GinsGlobal Inv Mgmt ( Mauritius) Ltd</t>
  </si>
  <si>
    <t>Citadel Investment Services (Pty) Ltd</t>
  </si>
  <si>
    <t>36ONE Asset Management (Pty) Ltd</t>
  </si>
  <si>
    <t>Personal Trust Intl Mgmt Co</t>
  </si>
  <si>
    <t>Truffle Asset Management</t>
  </si>
  <si>
    <t>Curate Investments (Pty) Ltd</t>
  </si>
  <si>
    <t>Rezco Asset Management (PTY) Ltd.</t>
  </si>
  <si>
    <t>Momentum Global Investment Mgmt Ltd</t>
  </si>
  <si>
    <t>Premier Portfolio Managers Limited</t>
  </si>
  <si>
    <t>Arcus Investment Limited</t>
  </si>
  <si>
    <t>Rubrics Asset Management</t>
  </si>
  <si>
    <t>Ashburton (Jersey) Limited</t>
  </si>
  <si>
    <t>Allan Gray Australia Pty Ltd</t>
  </si>
  <si>
    <t>Ashburton Fund Managers ( Pty) Ltd</t>
  </si>
  <si>
    <t>Ninety One Fund Managers SA (RF) (Pty) Ltd</t>
  </si>
  <si>
    <t>Fundsmith Investment Services Limited</t>
  </si>
  <si>
    <t>Baillie Gifford Investment Management (Europe) Limited</t>
  </si>
  <si>
    <t>FOORD ASSET MANAGEMENT</t>
  </si>
  <si>
    <t>Prescient Investment Management (Pty) Limited</t>
  </si>
  <si>
    <t>Peregrine Guernsey Limited</t>
  </si>
  <si>
    <t>CANACCORD WEALTH International Fund Managers Limited</t>
  </si>
  <si>
    <t>Foord Asset Management (Singapore) Pte. Limited</t>
  </si>
  <si>
    <t>Lindsell Train Ltd</t>
  </si>
  <si>
    <t>SEI Investments Canada Company</t>
  </si>
  <si>
    <t>Momentum Asset Management</t>
  </si>
  <si>
    <t>Bank Julius Bär &amp; Co. AG</t>
  </si>
  <si>
    <t>Marriott Asset Management (Pty) Ltd</t>
  </si>
  <si>
    <t>Colchester Global Investors Ltd</t>
  </si>
  <si>
    <t>Sarasin Funds Management (Ireland) Ltd.</t>
  </si>
  <si>
    <t>Momentum Multi-Manager (Pty) Ltd</t>
  </si>
  <si>
    <t>PPS Management Company (Pty) Ltd</t>
  </si>
  <si>
    <t>Oasis Crescent Management Co</t>
  </si>
  <si>
    <t>Vulcan Value Partners</t>
  </si>
  <si>
    <t>Investec Investment Management (Pty) Ltd</t>
  </si>
  <si>
    <t>SIS Management Company Limited</t>
  </si>
  <si>
    <t>Contrarius Investment Management Ltd</t>
  </si>
  <si>
    <t>Sanlam Asset Management (Ireland) Limited</t>
  </si>
  <si>
    <t>Sanlam Multi Managers International (Pty) Ltd</t>
  </si>
  <si>
    <t>Discovery Life Investment Services (Pty) Ltd</t>
  </si>
  <si>
    <t>Artisan Partners Global Funds PLC</t>
  </si>
  <si>
    <t>Virtus Investment Advisers, LLC</t>
  </si>
  <si>
    <t>Sands Capital Management, LLC</t>
  </si>
  <si>
    <t>Dodge &amp; Cox</t>
  </si>
  <si>
    <t>Coronation Global Fund Managers (Ireland) Limited</t>
  </si>
  <si>
    <t>Nedgroup Investments (IOM) Ltd</t>
  </si>
  <si>
    <t>Foord Asset Management (Guernsey) Limited</t>
  </si>
  <si>
    <t>Schroder Investment Management (Europe) S.A.</t>
  </si>
  <si>
    <t>Symmetry</t>
  </si>
  <si>
    <t>SEI Investments Global Limited</t>
  </si>
  <si>
    <t>PSG Collective Investments</t>
  </si>
  <si>
    <t>Goldman Sachs Asset Management B.V.</t>
  </si>
  <si>
    <t>abrdn Investments Luxembourg S.A.</t>
  </si>
  <si>
    <t>T. Rowe Price (Luxembourg) Management S.à r.l.</t>
  </si>
  <si>
    <t>STANLIB Fund Managers Jersey Limited</t>
  </si>
  <si>
    <t>Stone Harbor Investment Partners Limited</t>
  </si>
  <si>
    <t>Old Mutual Investment Group (Pty) Limited</t>
  </si>
  <si>
    <t>BlackRock (Luxembourg) SA</t>
  </si>
  <si>
    <t>Sanlam Investment Management (Pty) Limited</t>
  </si>
  <si>
    <t>MandG Investment Managers (Pty) Ltd</t>
  </si>
  <si>
    <t>FIL Investment Management (Luxembourg) S.A., Ireland Branch</t>
  </si>
  <si>
    <t>Foord Asset Management (Pty) Ltd</t>
  </si>
  <si>
    <t>M&amp;G Securities Ltd</t>
  </si>
  <si>
    <t>Ninety One Luxembourg S.A.</t>
  </si>
  <si>
    <t>Fundsmith LLP</t>
  </si>
  <si>
    <t>STANLIB Asset Management (Pty) Limited</t>
  </si>
  <si>
    <t>Orbis Investment Management Limited</t>
  </si>
  <si>
    <t>Ninety One SA (Pty) Limited</t>
  </si>
  <si>
    <t>Nedgroup Investments</t>
  </si>
  <si>
    <t>Allianz Global Investors GmbH</t>
  </si>
  <si>
    <t>Allan Gray Proprietary Limited</t>
  </si>
  <si>
    <t>Coronation Asset Management (Pty) Ltd</t>
  </si>
  <si>
    <t>Fidelity (FIL Inv Mgmt (Lux) S.A.)</t>
  </si>
  <si>
    <t>BlackRock Asset Management Ireland Ltd</t>
  </si>
  <si>
    <t>Goldman Sachs Asset Management Fund Services Ltd</t>
  </si>
  <si>
    <t>Franklin Templeton International Services S.à r.l.</t>
  </si>
  <si>
    <t>PineBridge Investments Ireland Ltd</t>
  </si>
  <si>
    <t>Polar Star Management</t>
  </si>
  <si>
    <t>Swiss-Asia Financial Services Pte Ltd</t>
  </si>
  <si>
    <t>10X Investments (Pty) Ltd</t>
  </si>
  <si>
    <t>Affinity Capital Management (Pty) Ltd</t>
  </si>
  <si>
    <t>Alpha Private Capital (Pty) Ltd</t>
  </si>
  <si>
    <t>Aureus Nobilis</t>
  </si>
  <si>
    <t>Brenthurst Capital</t>
  </si>
  <si>
    <t>Cedar Lane Capital (Pty) Ltd</t>
  </si>
  <si>
    <t>Cogence (Pty) Ltd</t>
  </si>
  <si>
    <t>Edge Asset Management (Pty) Ltd</t>
  </si>
  <si>
    <t>Engelberg (Pty) Ltd</t>
  </si>
  <si>
    <t>Excalibur Portfolio Managers</t>
  </si>
  <si>
    <t>FAL Invest</t>
  </si>
  <si>
    <t>Financial Fitness Portfolios (Pty) Ltd</t>
  </si>
  <si>
    <t>Granate Asset Management (Pty) Ltd</t>
  </si>
  <si>
    <t>Graphite Asset Advisory (Pty) Ltd</t>
  </si>
  <si>
    <t>Independent Securities (Pty) Limited</t>
  </si>
  <si>
    <t>Integral Asset Management</t>
  </si>
  <si>
    <t>Integrity Asset Management (Pty) Limited</t>
  </si>
  <si>
    <t>Lunar Capital</t>
  </si>
  <si>
    <t>Median Asset Management Cc</t>
  </si>
  <si>
    <t>Octagon Asset Managers</t>
  </si>
  <si>
    <t>PGIM</t>
  </si>
  <si>
    <t>PWM Wealth Management (Pty) Ltd</t>
  </si>
  <si>
    <t>Private Client Asset Management (Pty) Ltd</t>
  </si>
  <si>
    <t>Red Oak Capital</t>
  </si>
  <si>
    <t>Robert Cowen Investments</t>
  </si>
  <si>
    <t>Rowan Capital</t>
  </si>
  <si>
    <t>Roxburgh Asset Management</t>
  </si>
  <si>
    <t>Sanlam Private Wealth Pty Ltd</t>
  </si>
  <si>
    <t>Sentio Capital Managers</t>
  </si>
  <si>
    <t>Signature Private Clients</t>
  </si>
  <si>
    <t>Stonewood Investment Management (Guernsey) Limited</t>
  </si>
  <si>
    <t>Stylo Investments (Pty) Ltd</t>
  </si>
  <si>
    <t>Wealth Associates Asset Management</t>
  </si>
  <si>
    <t>Zazove Associates LLC</t>
  </si>
  <si>
    <t>Chrome Wealth Strategy Solutions (Pty) Ltd</t>
  </si>
  <si>
    <t>Clearance Capital Limited</t>
  </si>
  <si>
    <t>Credo Capital Limited</t>
  </si>
  <si>
    <t>Excelsia Capital (Pty) Ltd</t>
  </si>
  <si>
    <t>GQG Partners LLC</t>
  </si>
  <si>
    <t>Ginsburg &amp; Selby Private Wealth</t>
  </si>
  <si>
    <t>GraySwan Financial Services (Pty) Ltd</t>
  </si>
  <si>
    <t>High Street Asset Management (Pty) Ltd</t>
  </si>
  <si>
    <t>ID Capital (Pty) Ltd</t>
  </si>
  <si>
    <t>Investhouse International (Pty) Ltd</t>
  </si>
  <si>
    <t>JBL Asset Management</t>
  </si>
  <si>
    <t>MM Asset Management Limited</t>
  </si>
  <si>
    <t>MSM Property Fund</t>
  </si>
  <si>
    <t>Meago (Pty) Ltd</t>
  </si>
  <si>
    <t>Nest Egg Capital (Pty) Ltd</t>
  </si>
  <si>
    <t>Novare CIS (RF) Pty Ltd</t>
  </si>
  <si>
    <t>PWS Asset Managers (Pty) Ltd</t>
  </si>
  <si>
    <t>Perspective Investment Management</t>
  </si>
  <si>
    <t>RAVEN FUNDS (PTY) LTD</t>
  </si>
  <si>
    <t>Salvo Investment Managers (Pty) Ltd</t>
  </si>
  <si>
    <t>UBAM</t>
  </si>
  <si>
    <t>WellsFaber (Pty) Ltd</t>
  </si>
  <si>
    <t>Baobab Investment Management (Pty) Ltd</t>
  </si>
  <si>
    <t>Benguela Global Fund Managers</t>
  </si>
  <si>
    <t>Celerity Investments (Pty) Ltd</t>
  </si>
  <si>
    <t>Constellation Asset Management</t>
  </si>
  <si>
    <t>Imalivest Asset Management</t>
  </si>
  <si>
    <t>Korner Perspective</t>
  </si>
  <si>
    <t>Oakhaven Capital (Pty) Ltd.</t>
  </si>
  <si>
    <t>Odyssey Capital Managers (Pty) Limited</t>
  </si>
  <si>
    <t>PIM Capital Management Ltd</t>
  </si>
  <si>
    <t>PanAgora Asset Management</t>
  </si>
  <si>
    <t>Prime Collective Investment Schemes Management Company (RF) (PTY) LTD</t>
  </si>
  <si>
    <t>Prowess Investment Manager (Pty) Ltd</t>
  </si>
  <si>
    <t>Rozendal Partners (Pty) Ltd</t>
  </si>
  <si>
    <t>Senqu Capital</t>
  </si>
  <si>
    <t>Sequoia Capital Management (Pty) Ltd</t>
  </si>
  <si>
    <t>THINK Capital Investment Management</t>
  </si>
  <si>
    <t>Thyme Wealth Management (Pty) Ltd</t>
  </si>
  <si>
    <t>Baymont Wealth (Pty) Ltd</t>
  </si>
  <si>
    <t>Differential Capital (Pty) Ltd</t>
  </si>
  <si>
    <t>Edgestone Asset Management (Pty) Ltd</t>
  </si>
  <si>
    <t>Fussell Asset Management (Pty) Ltd</t>
  </si>
  <si>
    <t>Global &amp; Local</t>
  </si>
  <si>
    <t>Guernsey International Investment IC Limited</t>
  </si>
  <si>
    <t>Intellivest</t>
  </si>
  <si>
    <t>Lima Mbeu Investment Managers</t>
  </si>
  <si>
    <t>Lodestar Fund Managers (Pty) Ltd</t>
  </si>
  <si>
    <t>Marathon Asset Management Limited</t>
  </si>
  <si>
    <t>Mianzo Asset Management</t>
  </si>
  <si>
    <t>Nitrogen Fund Managers (Pty) Ltd</t>
  </si>
  <si>
    <t>OMBA Advisory &amp; Investments Ltd</t>
  </si>
  <si>
    <t>PIM Capital</t>
  </si>
  <si>
    <t>PMK Consulting Services (Pty) Ltd</t>
  </si>
  <si>
    <t>PortfolioMetrix Asset Management Ltd.</t>
  </si>
  <si>
    <t>Professional Provident Society Multi - Managers Proprietary Limited</t>
  </si>
  <si>
    <t>Public Investment Corporation</t>
  </si>
  <si>
    <t>Rexsolom (PTY) Limited</t>
  </si>
  <si>
    <t>Skybound Capital (Pty) Ltd</t>
  </si>
  <si>
    <t>Star Investment Partners</t>
  </si>
  <si>
    <t>Synergy Multi Managers (Pty) Ltd</t>
  </si>
  <si>
    <t>The Robert Group (Pty) Ltd</t>
  </si>
  <si>
    <t>Zeta Asset Management ICC Limited</t>
  </si>
  <si>
    <t>AG Capital (Pty) Ltd</t>
  </si>
  <si>
    <t>Aikya Investment Management Ltd</t>
  </si>
  <si>
    <t>AnBro Capital Investments</t>
  </si>
  <si>
    <t>Auris Gestion</t>
  </si>
  <si>
    <t>BIFM Unit Trust (Proprietary) Limited</t>
  </si>
  <si>
    <t>Balondolozi Investment Services (Pty) Ltd</t>
  </si>
  <si>
    <t>Causeway Securities Limited</t>
  </si>
  <si>
    <t>Delta 4 Financial Services</t>
  </si>
  <si>
    <t>Fisher Dugmore Securities (Pty) Ltd</t>
  </si>
  <si>
    <t>Iza Capital Partners (Pty) Ltd</t>
  </si>
  <si>
    <t>Momentum Wealth International Limited</t>
  </si>
  <si>
    <t>New Road Capital</t>
  </si>
  <si>
    <t>Oasis Crescent Wealth (UK) Limited</t>
  </si>
  <si>
    <t>Oyster Catcher Investments (Pty) Ltd</t>
  </si>
  <si>
    <t>PPS Multi-Managers (Pty) Limited</t>
  </si>
  <si>
    <t>Peregrine Capital International IC Ltd</t>
  </si>
  <si>
    <t>RisCura Invest (Pty) Ltd</t>
  </si>
  <si>
    <t>Saltlight Capital Management (Pty) Ltd</t>
  </si>
  <si>
    <t>Skyblue Fund Managers</t>
  </si>
  <si>
    <t>Steer Capital (Pty Ltd)</t>
  </si>
  <si>
    <t>The Offshore Mutual Fund PCC Limited</t>
  </si>
  <si>
    <t>UBP Asset Management (Europe) S.A.</t>
  </si>
  <si>
    <t>Weaver Investment Management</t>
  </si>
  <si>
    <t>Absa Alternative Asset Management (Pty) Ltd</t>
  </si>
  <si>
    <t>Citadel Guernsey Ltd</t>
  </si>
  <si>
    <t>Dominion Fund Management Ltd</t>
  </si>
  <si>
    <t>Genera Capital (PTY) Ltd</t>
  </si>
  <si>
    <t>Gradidge-Mahura Asset Management (Pty) Ltd</t>
  </si>
  <si>
    <t>Invictus Capital IC Limited</t>
  </si>
  <si>
    <t>Legacy Africa Fund Managers (Pty) Ltd</t>
  </si>
  <si>
    <t>Mentenova</t>
  </si>
  <si>
    <t>Muhu Capital (Pty) Limited</t>
  </si>
  <si>
    <t>Nomura Asset Management U.K. Limited</t>
  </si>
  <si>
    <t>PIM Capital Ltd PCC</t>
  </si>
  <si>
    <t>Peregrine Capital (Proprietary) Limited</t>
  </si>
  <si>
    <t>Personal Wealth Management (Pty) Ltd</t>
  </si>
  <si>
    <t>Prime Investments ICC Limited</t>
  </si>
  <si>
    <t>Protea Capital Management (Pty) Ltd</t>
  </si>
  <si>
    <t>Pyxis Investment Management (Pty) Ltd</t>
  </si>
  <si>
    <t>Sands Capital Funds PLC</t>
  </si>
  <si>
    <t>Sephira Investment Advisors (UK) Limited</t>
  </si>
  <si>
    <t>Sequoia</t>
  </si>
  <si>
    <t>Standard Bank Namibia UT Mgmt</t>
  </si>
  <si>
    <t>Sterling Investments Management Ltd</t>
  </si>
  <si>
    <t>iM Global Partner Asset Management S.A.</t>
  </si>
  <si>
    <t>Alusi Asset Management (Pty) Ltd</t>
  </si>
  <si>
    <t>Aurora Capital SA (Pty) Ltd</t>
  </si>
  <si>
    <t>Bartizan Capital</t>
  </si>
  <si>
    <t>Definitive Asset Management Proprietary Limited</t>
  </si>
  <si>
    <t>Florin Capital Management</t>
  </si>
  <si>
    <t>Independent Alternatives Investment Managers (Pty) Ltd</t>
  </si>
  <si>
    <t>Interactive Portfolios (Pty) Ltd</t>
  </si>
  <si>
    <t>Landseer Asset Management UK LLP</t>
  </si>
  <si>
    <t>Martello Asset Management Limited</t>
  </si>
  <si>
    <t>Momentum</t>
  </si>
  <si>
    <t>Orchard Investment Management</t>
  </si>
  <si>
    <t>Point Capital Management (Pty) Ltd</t>
  </si>
  <si>
    <t>RealFin Collective Investment Schemes (RF) (Pty) Ltd</t>
  </si>
  <si>
    <t>STANLIB Collective Investments (RF) (Pty) Limited</t>
  </si>
  <si>
    <t>Sage Multi Managers (Pty) Ltd</t>
  </si>
  <si>
    <t>Southern Right Capital SA</t>
  </si>
  <si>
    <t>T. Rowe Price International Ltd</t>
  </si>
  <si>
    <t>Umbra Capital Partners</t>
  </si>
  <si>
    <t>WealthStrat (Pty) Ltd</t>
  </si>
  <si>
    <t>Wealthpoint Capital</t>
  </si>
  <si>
    <t>Woodland Asset Management (Pty) Ltd</t>
  </si>
  <si>
    <t>ClucasGray (Pty) Ltd</t>
  </si>
  <si>
    <t>FVV Capital (Pty) Ltd</t>
  </si>
  <si>
    <t>Numoro (Pty) Ltd</t>
  </si>
  <si>
    <t>Ordian Capital (Pty) Ltd</t>
  </si>
  <si>
    <t>Private Capital Consult</t>
  </si>
  <si>
    <t>Sentio Capital Management (Pty) Ltd</t>
  </si>
  <si>
    <t>SouthernCross Capital</t>
  </si>
  <si>
    <t>Steen Capital Partners (Pty) Ltd</t>
  </si>
  <si>
    <t>Sterling Private Client Asset Management (Pty) Limited</t>
  </si>
  <si>
    <t>TBI Investment Managers (Pty) Ltd</t>
  </si>
  <si>
    <t>2IP Independent Investment Partners (Pty) Ltd</t>
  </si>
  <si>
    <t>Artisan Partners Limited Partnership</t>
  </si>
  <si>
    <t>Citrine Fund Managers</t>
  </si>
  <si>
    <t>Contrarius Investment Services</t>
  </si>
  <si>
    <t>Findotec (Pty) Ltd</t>
  </si>
  <si>
    <t>Fund Wealth (Pty) Ltd</t>
  </si>
  <si>
    <t>Galileo Capital</t>
  </si>
  <si>
    <t>Helfin Global Capital (Pty) Ltd</t>
  </si>
  <si>
    <t>Investin Asset Management</t>
  </si>
  <si>
    <t>Khumo Capital (Pty) Ltd</t>
  </si>
  <si>
    <t>Momentum Consult (Pty) Ltd</t>
  </si>
  <si>
    <t>Morningstar Investment Management South Africa</t>
  </si>
  <si>
    <t>Northshore Capital (Pty) Ltd</t>
  </si>
  <si>
    <t>Opulence Asset Management</t>
  </si>
  <si>
    <t>Remo Asset Management (Pty) Ltd</t>
  </si>
  <si>
    <t>STRATEGIQ Capital</t>
  </si>
  <si>
    <t>Vertu Capital Ltd</t>
  </si>
  <si>
    <t>AE Investment Managers (Pty) Ltd</t>
  </si>
  <si>
    <t>AGT Partners Pte. Ltd.</t>
  </si>
  <si>
    <t>AIP Capital Management (Pty) Ltd</t>
  </si>
  <si>
    <t>ATON Wealth Solutions (Pty) Ltd</t>
  </si>
  <si>
    <t>Alt Re Capital Management</t>
  </si>
  <si>
    <t>Aurum Fund Management Ltd</t>
  </si>
  <si>
    <t>Bellamont Asset Management</t>
  </si>
  <si>
    <t>Boutique Collective Investments</t>
  </si>
  <si>
    <t>CP Global Asset Management Private Ltd.</t>
  </si>
  <si>
    <t>Capital Link Partners (Pty) Ltd</t>
  </si>
  <si>
    <t>Capricorn Funds Managers (Pty) Limited</t>
  </si>
  <si>
    <t>Coherent Capital Management (Pty) Ltd</t>
  </si>
  <si>
    <t>ETM Capital</t>
  </si>
  <si>
    <t>Edify Fund Managers (Pty) Ltd</t>
  </si>
  <si>
    <t>Effectus Capital Management (Pty) LTD</t>
  </si>
  <si>
    <t>FundRock Management Company (RF) (Pty) Ltd</t>
  </si>
  <si>
    <t>IWM Capital</t>
  </si>
  <si>
    <t>MI Thornbridge Investment Funds</t>
  </si>
  <si>
    <t>MandG Investments Unit Trusts South Africa (RF) Ltd</t>
  </si>
  <si>
    <t>Ninety One SA Proprietary Limited</t>
  </si>
  <si>
    <t>Nomura</t>
  </si>
  <si>
    <t>Oribi Capital Partners (Pty) Ltd</t>
  </si>
  <si>
    <t>PTI Mutual Fund PCC Limited</t>
  </si>
  <si>
    <t>Pin Oak Capital (PTY) Ltd</t>
  </si>
  <si>
    <t>Premier Fund Managers Limited</t>
  </si>
  <si>
    <t>Prescient Management Company (RF) (Pty) Limited</t>
  </si>
  <si>
    <t>Rebalance Fund Managers</t>
  </si>
  <si>
    <t>Regarding Capital Management (Pty) Ltd</t>
  </si>
  <si>
    <t>Satrix Investments</t>
  </si>
  <si>
    <t>Strategic Capital Partners</t>
  </si>
  <si>
    <t>Tempo Fund Managers (Pty) Ltd</t>
  </si>
  <si>
    <t>Umthombo Wealth Pty Ltd</t>
  </si>
  <si>
    <t>Universum Wealth (Pty) Ltd</t>
  </si>
  <si>
    <t>Visio Capital Management (Pty) Ltd</t>
  </si>
  <si>
    <t>Wealthvest Investment Management (Pty) Ltd</t>
  </si>
  <si>
    <t>Total Net Assets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</si>
  <si>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</si>
  <si>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</si>
  <si>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</si>
  <si>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</si>
  <si>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</si>
  <si>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</si>
  <si>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</si>
  <si>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</si>
  <si>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</si>
  <si>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</si>
  <si>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</si>
  <si>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% Market Share</t>
  </si>
  <si>
    <t>Sum of 2025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</si>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</sst>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4" x14ac:knownFonts="1">
    <font>
      <sz val="11"/>
      <name val="Calibri"/>
    </font>
    <font>
      <sz val="10"/>
      <name val="Arial"/>
    </font>
    <font>
      <b/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9" fontId="1" fillId="0" borderId="0" xfId="1" applyFont="1" applyAlignment="1">
      <alignment horizontal="right"/>
    </xf>
    <xf numFmtId="9" fontId="1" fillId="0" borderId="0" xfId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;\(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Hayman (Denker)" refreshedDate="46052.499423726855" createdVersion="8" refreshedVersion="8" minRefreshableVersion="3" recordCount="457" xr:uid="{E9572F05-9558-4F82-8EBF-E6BBEB967DDE}">
  <cacheSource type="worksheet">
    <worksheetSource name="Table2"/>
  </cacheSource>
  <cacheFields count="13">
    <cacheField name="Fund Family" numFmtId="0">
      <sharedItems count="456">
        <s v="BlackRock Asset Management Ireland Ltd"/>
        <s v="Goldman Sachs Asset Management Fund Services Ltd"/>
        <s v="Allianz Global Investors GmbH"/>
        <s v="Franklin Templeton International Services S.à r.l."/>
        <s v="Allan Gray Proprietary Limited"/>
        <s v="Ninety One SA (Pty) Limited"/>
        <s v="Goldman Sachs Asset Management B.V."/>
        <s v="Coronation Asset Management (Pty) Ltd"/>
        <s v="Fundsmith LLP"/>
        <s v="STANLIB Asset Management (Pty) Limited"/>
        <s v="Nedgroup Investments"/>
        <s v="Ninety One Luxembourg S.A."/>
        <s v="Fidelity (FIL Inv Mgmt (Lux) S.A.)"/>
        <s v="Schroder Investment Management (Europe) S.A."/>
        <s v="PSG Collective Investments"/>
        <s v="MandG Investment Managers (Pty) Ltd"/>
        <s v="FIL Investment Management (Luxembourg) S.A., Ireland Branch"/>
        <s v="Dodge &amp; Cox"/>
        <s v="Old Mutual Investment Group (Pty) Limited"/>
        <s v="Sanlam Investment Management (Pty) Limited"/>
        <s v="Investec Investment Management (Pty) Ltd"/>
        <s v="SEI Investments Global Limited"/>
        <s v="T. Rowe Price (Luxembourg) Management S.à r.l."/>
        <s v="Guinness Asset Management Limited"/>
        <s v="Artisan Partners Global Funds PLC"/>
        <s v="Baillie Gifford Investment Management (Europe) Limited"/>
        <s v="Fundsmith Investment Services Limited"/>
        <s v="BlackRock (Luxembourg) SA"/>
        <s v="Discovery Life Investment Services (Pty) Ltd"/>
        <s v="Bank Julius Bär &amp; Co. AG"/>
        <s v="Sands Capital Management, LLC"/>
        <s v="Nedgroup Investments (IOM) Ltd"/>
        <s v="STANLIB Fund Managers Jersey Limited"/>
        <s v="Sanlam Multi Managers International (Pty) Ltd"/>
        <s v="Ashburton Fund Managers ( Pty) Ltd"/>
        <s v="Prescient Investment Management (Pty) Limited"/>
        <s v="Satrix Managers (Pty) Limited"/>
        <s v="PPS Management Company (Pty) Ltd"/>
        <s v="Fairtree Asset Management (Pty) Ltd."/>
        <s v="Amplify Investment Partners (Pty) Ltd"/>
        <s v="M&amp;G Securities Ltd"/>
        <s v="GQG Partners LLC"/>
        <s v="Symmetry"/>
        <s v="PSG Fund Management (Malta) Limited"/>
        <s v="Sanlam Asset Management (Ireland) Limited"/>
        <s v="Peregrine Guernsey Limited"/>
        <s v="PortfolioMetrix"/>
        <s v="Foord Asset Management (Pty) Ltd"/>
        <s v="Momentum Multi-Manager (Pty) Ltd"/>
        <s v="10X Investments (Pty) Ltd"/>
        <s v="1nvest Fund Managers (Pty) Ltd"/>
        <s v="Orbis Investment Management Limited"/>
        <s v="Premier Portfolio Managers Limited"/>
        <s v="Sygnia Asset Management (Pty) Ltd"/>
        <s v="36ONE Asset Management (Pty) Ltd"/>
        <s v="Anchor Capital (Pty) Limited"/>
        <s v="Ninety One Fund Managers SA (RF) (Pty) Ltd"/>
        <s v="Abax Investments Proprietary Limited"/>
        <s v="Allan Gray Australia Pty Ltd"/>
        <s v="Contrarius Investment Management Ltd"/>
        <s v="Russell Investments Limited"/>
        <s v="Stonehage Fleming Investment Management Limited"/>
        <s v="Ranmore Fund Management LTD"/>
        <s v="Coronation Global Fund Managers (Ireland) Limited"/>
        <s v="Truffle Asset Management"/>
        <s v="Virtus Investment Advisers, LLC"/>
        <s v="Camissa Asset Management (Pty) Limited"/>
        <s v="Foord Asset Management (Guernsey) Limited"/>
        <s v="Momentum Asset Management"/>
        <s v="Cogence (Pty) Ltd"/>
        <s v="Seilern International AG"/>
        <s v="PineBridge Investments Ireland Ltd"/>
        <s v="Landseer Asset Management UK LLP"/>
        <s v="H4 Collective Investments (RF) (Pty)Ltd"/>
        <s v="Curate Investments (Pty) Ltd"/>
        <s v="Colchester Global Investors Ltd"/>
        <s v="Sasfin Asset Managers (Pty) Ltd"/>
        <s v="Ci Global Fund Managers ICC Ltd"/>
        <s v="Marriott Asset Management (Pty) Ltd"/>
        <s v="Pzena Investment Management Europe Limited"/>
        <s v="Sarasin Funds Management (Ireland) Ltd."/>
        <s v="Jupiter Asset Management (Europe) Limited"/>
        <s v="Citadel Investment Services (Pty) Ltd"/>
        <s v="Orbis Investment Management (Luxembourg) S.A."/>
        <s v="Ninety One Guernsey Limited"/>
        <s v="Granate Asset Management (Pty) Ltd"/>
        <s v="Aikya Investment Management Ltd"/>
        <s v="Arcus Investment Limited"/>
        <s v="Oasis Crescent Management Co"/>
        <s v="SEI Investments Canada Company"/>
        <s v="Canaccord Genuity Wealth (Intl) Ltd"/>
        <s v="Equilibrium Investment Management (Pty) Ltd"/>
        <s v="Bateleur Capital (Pty) Ltd"/>
        <s v="STANLIB Collective Investments (RF) (Pty) Limited"/>
        <s v="FNB CIS Manco (Proprietary) Ltd"/>
        <s v="Hollard Investment Managers"/>
        <s v="Personal Trust Intl Mgmt Co"/>
        <s v="Matrix Fund Managers"/>
        <s v="Professional Provident Society Multi - Managers Proprietary Limited"/>
        <s v="Aylett &amp; Company (Pty) Ltd"/>
        <s v="Centaur Asset Management (Pty) Ltd"/>
        <s v="Laurium Capital (Pty) Ltd"/>
        <s v="Alexander Forbes Investment Ltd"/>
        <s v="UBS Asset Management (Europe) S.A."/>
        <s v="PWM Wealth Management (Pty) Ltd"/>
        <s v="SIS Management Company Limited"/>
        <s v="Glacier Management Company"/>
        <s v="STANLIB Multi-Manager"/>
        <s v="Credo Capital Limited"/>
        <s v="WealthStrat (Pty) Ltd"/>
        <s v="ALUWANI Capital Partners"/>
        <s v="NFB Asset Management (Pty) Limited"/>
        <s v="GinsGlobal Inv Mgmt ( Mauritius) Ltd"/>
        <s v="Momentum"/>
        <s v="Apex Investment Consulting SA (Pty) Ltd"/>
        <s v="Instit (Pty) Ltd"/>
        <s v="Taquanta Asset Managers"/>
        <s v="Lindsell Train Ltd"/>
        <s v="Ashburton (Jersey) Limited"/>
        <s v="Oasis Crescent Wealth (UK) Limited"/>
        <s v="Visio Fund Management (Pty) Ltd"/>
        <s v="Grant Thornton Capital (GTC)"/>
        <s v="Skyblue Fund Managers"/>
        <s v="FG Asset Management Ltd"/>
        <s v="Adviceworx (Pty) Ltd"/>
        <s v="IP Fund Managers Guernsey Limited"/>
        <s v="Vunani Fund Managers (Pty) Ltd"/>
        <s v="Vulcan Value Partners"/>
        <s v="Portfolio Analytics Consulting (Pty) Ltd"/>
        <s v="Optimum Investment Group (Pty) Ltd"/>
        <s v="Marathon Asset Management Limited"/>
        <s v="3B Asset Management"/>
        <s v="Ampersand Asset Management"/>
        <s v="Itransact Fund Managers"/>
        <s v="Rubrics Asset Management"/>
        <s v="Momentum Global Investment Mgmt Ltd"/>
        <s v="Ashmore Investment Management (Ireland) Limited"/>
        <s v="Graviton Financial Partners"/>
        <s v="Select Manager (Pty) Ltd"/>
        <s v="abrdn Investments Luxembourg S.A."/>
        <s v="PortfolioMetrix Asset Management Ltd."/>
        <s v="FOORD ASSET MANAGEMENT"/>
        <s v="Cadiz Asset Management"/>
        <s v="Denker Capital"/>
        <s v="MiPlan Proprietary Limited"/>
        <s v="Methodical Investment Management"/>
        <s v="Sesfikile Capital"/>
        <s v="Sarasin Investment Funds Ltd"/>
        <s v="STANLIB Lesotho"/>
        <s v="Melville Douglas Investment Management"/>
        <s v="New Road Capital"/>
        <s v="All Weather Capital"/>
        <s v="Excalibur Portfolio Managers"/>
        <s v="Canaccord Genuity Wealth Management"/>
        <s v="Gryphon Asset Management (Pty) Ltd"/>
        <s v="Kruger International"/>
        <s v="Stonehage Fleming Investment Management (South Africa) (Pty) Ltd"/>
        <s v="Portfolio Bureau Investments"/>
        <s v="Wealth Associates Asset Management"/>
        <s v="Fussell Asset Management (Pty) Ltd"/>
        <s v="Chrome Wealth Strategy Solutions (Pty) Ltd"/>
        <s v="Roxburgh Asset Management"/>
        <s v="Merchant West Investments (Pty) Ltd"/>
        <s v="Allan Gray Bermuda Limited"/>
        <s v="ClucasGray Asset Management"/>
        <s v="27four Investment Managers"/>
        <s v="Catalyst Fund Managers (Pty) Limited"/>
        <s v="Stone Harbor Investment Partners Limited"/>
        <s v="PIM Capital Management Ltd"/>
        <s v=""/>
        <s v="2IP Independent Investment Partners (Pty) Ltd"/>
        <s v="Efficient Select (Pty) Ltd"/>
        <s v="AG Capital (Pty) Ltd"/>
        <s v="Mentenova"/>
        <s v="Accorn Investment Management"/>
        <s v="MitonOptimal South Africa (Pty) Ltd"/>
        <s v="Associated Portfolio Solutions (Pty) Ltd"/>
        <s v="Palmyra Asset Management"/>
        <s v="S-BRO Fondsbestuurders"/>
        <s v="Foord Asset Management (Singapore) Pte. Limited"/>
        <s v="Celerity Investments (Pty) Ltd"/>
        <s v="Alexander Forbes Investments Jersey Limited"/>
        <s v="Allan Gray International Proprietary Limited"/>
        <s v="Seed Investment Consultants (Pty) Limited"/>
        <s v="JBL Asset Management"/>
        <s v="Cinnabar Investment Management (Pty) Ltd"/>
        <s v="Corion Capital (Pty) Ltd"/>
        <s v="Marriott Isle of Man Ltd"/>
        <s v="PI Investment Managers (Pty) Ltd"/>
        <s v="PMK Consulting Services (Pty) Ltd"/>
        <s v="Private Client Asset Management (Pty) Ltd"/>
        <s v="Citadel Guernsey Ltd"/>
        <s v="The Capital Incubator"/>
        <s v="SouthChester Investment Managers"/>
        <s v="Platinum Portfolios (Pty) Ltd"/>
        <s v="Sanlam Private Wealth"/>
        <s v="Guernsey International Investment IC Limited"/>
        <s v="The Robert Group (Pty) Ltd"/>
        <s v="Rezco Asset Management (PTY) Ltd."/>
        <s v="PWS Asset Managers (Pty) Ltd"/>
        <s v="Terebinth Capital (Pty) Ltd"/>
        <s v="Catalyst Fund Managers Global (Pty) Limited"/>
        <s v="FIM Capital Ltd"/>
        <s v="Fisher Dugmore Securities (Pty) Ltd"/>
        <s v="Financial Fitness Portfolios (Pty) Ltd"/>
        <s v="Sands Capital Funds PLC"/>
        <s v="Synergy Multi Managers (Pty) Ltd"/>
        <s v="Southern Charter Fund Managers"/>
        <s v="Saffron Wealth (Pty) Ltd"/>
        <s v="Prime Collective Investment Schemes Management Company (RF) (PTY) LTD"/>
        <s v="Northstar Asset Management (Pty) Ltd"/>
        <s v="Independent Securities (Pty) Limited"/>
        <s v="Quantum Fund Managers (Pty) Ltd"/>
        <s v="PGIM"/>
        <s v="Mianzo Asset Management"/>
        <s v="FedGroup Management Company"/>
        <s v="Obsidian Capital (Pty) Ltd"/>
        <s v="Morningstar Investment Management South Africa"/>
        <s v="Star Investment Partners"/>
        <s v="Assetbase International (Pty) Ltd"/>
        <s v="Flagship Asset Management"/>
        <s v="OMBA Advisory &amp; Investments Ltd"/>
        <s v="PIM Capital (Guernsey) limited"/>
        <s v="Custodian (Pty) Ltd"/>
        <s v="Lynx Fund Managers (Pty) Ltd"/>
        <s v="Artisan Partners Limited Partnership"/>
        <s v="Providence Investment Partners"/>
        <s v="Salvo Investment Managers (Pty) Ltd"/>
        <s v="Affinity Capital Management (Pty) Ltd"/>
        <s v="Woodland Asset Management (Pty) Ltd"/>
        <s v="Premier Fund Managers Limited"/>
        <s v="Sage Multi Managers (Pty) Ltd"/>
        <s v="Cordatus Capital (Pty) Ltd"/>
        <s v="PPS Multi-Managers (Pty) Limited"/>
        <s v="Octagon Asset Managers"/>
        <s v="Point Capital Management (Pty) Ltd"/>
        <s v="BlueAlpha Investment Management Pty Ltd"/>
        <s v="Bartizan Capital"/>
        <s v="Aeon Investment Management"/>
        <s v="Stenham Asset Management (UK) plc"/>
        <s v="PanAgora Asset Management"/>
        <s v="Noble Private Portfolios"/>
        <s v="Interactive Portfolios (Pty) Ltd"/>
        <s v="Celtis Financial Services"/>
        <s v="Amity Investment Solutions (Pty) Ltd"/>
        <s v="Analytics"/>
        <s v="Sequoia Capital Management (Pty) Ltd"/>
        <s v="CS Asset Management"/>
        <s v="Dinamika Fonds Bestuurders (Pty) Ltd"/>
        <s v="ID Capital (Pty) Ltd"/>
        <s v="Weaver Investment Management"/>
        <s v="Stylo Investments (Pty) Ltd"/>
        <s v="GraySwan Financial Services (Pty) Ltd"/>
        <s v="Brenthurst Capital"/>
        <s v="Citrine Fund Managers"/>
        <s v="Argon Asset Management"/>
        <s v="Peregrine Capital International IC Ltd"/>
        <s v="Momentum Consult (Pty) Ltd"/>
        <s v="UBP Asset Management (Europe) S.A."/>
        <s v="Excelsia Capital (Pty) Ltd"/>
        <s v="AssetMix Solutions"/>
        <s v="Atomos Investments Limited"/>
        <s v="Umbra Capital Partners"/>
        <s v="Zazove Associates LLC"/>
        <s v="Driehaus Capital Management LLC"/>
        <s v="Autus Fund Managers (Pty) Ltd"/>
        <s v="AE Investment Managers (Pty) Ltd"/>
        <s v="Gradidge-Mahura Asset Management (Pty) Ltd"/>
        <s v="Omega Capital (Pty) Ltd"/>
        <s v="Orchard Investment Management"/>
        <s v="Perpetua Investment Managers"/>
        <s v="Franklin Templeton Investments Corp"/>
        <s v="PIM Capital Ltd PCC"/>
        <s v="High Street Asset Management (Pty) Ltd"/>
        <s v="Oribi Capital Partners (Pty) Ltd"/>
        <s v="Momentum Wealth International Limited"/>
        <s v="Cedar Lane Capital (Pty) Ltd"/>
        <s v="Rebalance Fund Managers"/>
        <s v="A S Sure Investment Services"/>
        <s v="Odyssey Capital Managers (Pty) Limited"/>
        <s v="Lodestar Fund Managers (Pty) Ltd"/>
        <s v="Altinvest MultiAsset Fund Management"/>
        <s v="Ginsburg &amp; Selby Private Wealth"/>
        <s v="Nest Egg Capital (Pty) Ltd"/>
        <s v="Sanlam Private Wealth Pty Ltd"/>
        <s v="FVV Capital (Pty) Ltd"/>
        <s v="Sentio Capital Managers"/>
        <s v="Robert Cowen Investments"/>
        <s v="Platinum Portfolios Global"/>
        <s v="Jupiter Asset Management International S.A."/>
        <s v="Steyn Capital Management"/>
        <s v="Integrity Asset Management (Pty) Limited"/>
        <s v="Prowess Investment Manager (Pty) Ltd"/>
        <s v="Deton Private Wealth (Pty) Ltd"/>
        <s v="Benguela Global Fund Managers"/>
        <s v="Perspective Investment Management"/>
        <s v="Dynasty Asset Management (South Africa)"/>
        <s v="Capital Link Partners (Pty) Ltd"/>
        <s v="Tresor Wealth (Pty) Ltd"/>
        <s v="Delta 4 Financial Services"/>
        <s v="Bovest Capital (Pty) Ltd"/>
        <s v="Harvard House Investment Management"/>
        <s v="Plexus Wealth"/>
        <s v="ATON Wealth Solutions (Pty) Ltd"/>
        <s v="Genera Capital (PTY) Ltd"/>
        <s v="4D Wealth Management"/>
        <s v="Ordian Capital (Pty) Ltd"/>
        <s v="Investhouse International (Pty) Ltd"/>
        <s v="ClucasGray (Pty) Ltd"/>
        <s v="Quattro Fund Managers"/>
        <s v="Rozendal Partners (Pty) Ltd"/>
        <s v="Clearance Capital Limited"/>
        <s v="Helfin Private Wealth (Pty) Ltd"/>
        <s v="Oakhaven Capital (Pty) Ltd."/>
        <s v="Engelberg (Pty) Ltd"/>
        <s v="Wealthpoint Capital"/>
        <s v="STRATEGIQ Capital"/>
        <s v="Edge Asset Management (Pty) Ltd"/>
        <s v="PFPS Asset Management (Pty) Ltd"/>
        <s v="Umthombo Wealth Pty Ltd"/>
        <s v="Cartesian Capital (Pty) Ltd"/>
        <s v="SA Asset Management"/>
        <s v="Red Oak Capital"/>
        <s v="Protea Capital Management (Pty) Ltd"/>
        <s v="Arnold du Bruin and Associates"/>
        <s v="RisCura Invest (Pty) Ltd"/>
        <s v="Element Investment Managers (Pty) Ltd"/>
        <s v="Sterling Private Client Asset Management (Pty) Limited"/>
        <s v="Momentum Mutual Fund ICC Limited"/>
        <s v="Capita Asset Management"/>
        <s v="RSA Multi Asset Managers (Pty) Ltd"/>
        <s v="Zeta Asset Management ICC Limited"/>
        <s v="Southern Right Capital SA"/>
        <s v="Northshore Capital (Pty) Ltd"/>
        <s v="WellsFaber (Pty) Ltd"/>
        <s v="Alpha Private Capital (Pty) Ltd"/>
        <s v="Vertu Capital Ltd"/>
        <s v="Thyme Wealth Management (Pty) Ltd"/>
        <s v="STANLIB Investment Management Services"/>
        <s v="Aboutir Wealth (Pty) Ltd."/>
        <s v="Balondolozi Investment Services (Pty) Ltd"/>
        <s v="Long Beach Capital (Pty) Ltd"/>
        <s v="Mergence Investment Managers"/>
        <s v="Pangbourne Asset Management (Channel Islands) Limited"/>
        <s v="MM Asset Management Limited"/>
        <s v="Starfundsai"/>
        <s v="Signature Private Clients"/>
        <s v="Dotport"/>
        <s v="Wealthworks Investments (Pty) Ltd"/>
        <s v="Helfin Global Capital (Pty) Ltd"/>
        <s v="Muhu Capital (Pty) Limited"/>
        <s v="Opulence Asset Management"/>
        <s v="Capita Asset Management (Pty) Ltd"/>
        <s v="Novare Investments Pty Ltd"/>
        <s v="Fibonacci Asset Management"/>
        <s v="MI Thornbridge Investment Funds"/>
        <s v="Findotec (Pty) Ltd"/>
        <s v="Baroque Financial Services"/>
        <s v="Personal Wealth Management (Pty) Ltd"/>
        <s v="Nomura Asset Management U.K. Limited"/>
        <s v="Fund Wealth (Pty) Ltd"/>
        <s v="Simplisiti Asset Management"/>
        <s v="Brantam Financial Services"/>
        <s v="Guernsey International Fund Management"/>
        <s v="Baymont Wealth (Pty) Ltd"/>
        <s v="Imalivest (Pty) Ltd"/>
        <s v="Prime Investments ICC Limited"/>
        <s v="Mazi Asset Management (Pty) Ltd"/>
        <s v="Momentum Securities (Pty) Ltd"/>
        <s v="PIM Capital"/>
        <s v="Sequoia"/>
        <s v="Counterpoint Boutique Pty Ltd."/>
        <s v="Alusi Asset Management (Pty) Ltd"/>
        <s v="Alquity Investment Management Limited"/>
        <s v="Imalivest Asset Management"/>
        <s v="Intellivest"/>
        <s v="Public Investment Corporation"/>
        <s v="M1 Capital Investments (Pty) Limited"/>
        <s v="Satrix Investments"/>
        <s v="RAVEN FUNDS (PTY) LTD"/>
        <s v="Reitway Global (Pty) Ltd"/>
        <s v="Steer Capital (Pty Ltd)"/>
        <s v="Investin Asset Management"/>
        <s v="Rock Capital Management"/>
        <s v="FAL Invest"/>
        <s v="African Alliance Advisory (Pty) Ltd."/>
        <s v="Saltlight Capital Management (Pty) Ltd"/>
        <s v="Definitive Asset Management Proprietary Limited"/>
        <s v="Caleo Capital"/>
        <s v="Pin Oak Capital (PTY) Ltd"/>
        <s v="Numoro (Pty) Ltd"/>
        <s v="Auris Gestion"/>
        <s v="First Avenue Investment Managers"/>
        <s v="Aureus Nobilis"/>
        <s v="Sanlam Collective Investments"/>
        <s v="Old Mutual Wealth Trust Company (Pty) Ltd"/>
        <s v="Causeway Securities Limited"/>
        <s v="Rowan Capital"/>
        <s v="ETM Capital"/>
        <s v="Blue Quadrant Capital Management"/>
        <s v="Ninety One SA Proprietary Limited"/>
        <s v="Private Capital Consult"/>
        <s v="Pyxis Investment Management (Pty) Ltd"/>
        <s v="Meago (Pty) Ltd"/>
        <s v="Destiny Asset Managers"/>
        <s v="Sterling Investments Management Ltd"/>
        <s v="Montrose Asset Management"/>
        <s v="Independent Alternatives Investment Managers (Pty) Ltd"/>
        <s v="Global &amp; Local"/>
        <s v="Bellamont Asset Management"/>
        <s v="Baobab Investment Management (Pty) Ltd"/>
        <s v="Community Growth Mgmt Co"/>
        <s v="Metope Investment Managers (Pty) Ltd"/>
        <s v="Rexsolom (PTY) Limited"/>
        <s v="Cohesive Capital (Pty) Ltd"/>
        <s v="Lunar Capital"/>
        <s v="Tempo Fund Managers (Pty) Ltd"/>
        <s v="Edgestone Asset Management (Pty) Ltd"/>
        <s v="Korner Perspective"/>
        <s v="Edify Fund Managers (Pty) Ltd"/>
        <s v="UBAM"/>
        <s v="Martello Asset Management Limited"/>
        <s v="Integral Asset Management"/>
        <s v="Pinnacle Wealth Management (Pty) Ltd"/>
        <s v="Consilium Capital SA"/>
        <s v="Oyster Catcher Investments (Pty) Ltd"/>
        <s v="Contrarius Investment Services"/>
        <s v="Aurora Capital SA (Pty) Ltd"/>
        <s v="T. Rowe Price International Ltd"/>
        <s v="Foster Wealth Management (Pty) Ltd"/>
        <s v="Median Asset Management Cc"/>
        <s v="MSM Property Fund"/>
        <s v="Lima Mbeu Investment Managers"/>
        <s v="Khumo Capital (Pty) Ltd"/>
        <s v="SouthernCross Capital"/>
        <s v="Galileo Capital"/>
        <s v="Legacy Africa Fund Managers (Pty) Ltd"/>
        <s v="Iza Capital Partners (Pty) Ltd"/>
        <s v="AnBro Capital Investments"/>
        <s v="Cratos Asset Management (Pty) Ltd"/>
        <s v="BIFM Unit Trust (Proprietary) Limited"/>
        <s v="Colourfield Liability Solutions"/>
        <s v="MandG Investments Unit Trusts South Africa (RF) Ltd"/>
        <s v="Remo Asset Management (Pty) Ltd"/>
        <s v="Strategic Capital Partners"/>
        <s v="Peregrine Capital (Proprietary) Limited"/>
        <s v="Universum Wealth (Pty) Ltd"/>
        <s v="Sentio Capital Management (Pty) Ltd"/>
        <s v="Florin Capital Management"/>
        <s v="Wealthvest Investment Management (Pty) Ltd"/>
        <s v="Maestro Investment Management (Pty) Ltd"/>
        <s v="Constellation Asset Management"/>
        <s v="TBI Investment Managers (Pty) Ltd"/>
        <s v="Standard Bank Namibia UT Mgmt"/>
        <s v="Differential Capital (Pty) Ltd"/>
        <s v="Nomura"/>
      </sharedItems>
    </cacheField>
    <cacheField name="2015" numFmtId="0">
      <sharedItems containsMixedTypes="1" containsNumber="1" containsInteger="1" minValue="943830" maxValue="1078794153439"/>
    </cacheField>
    <cacheField name="2016" numFmtId="0">
      <sharedItems containsMixedTypes="1" containsNumber="1" containsInteger="1" minValue="963847" maxValue="794244966369"/>
    </cacheField>
    <cacheField name="2017" numFmtId="0">
      <sharedItems containsMixedTypes="1" containsNumber="1" containsInteger="1" minValue="4909086" maxValue="796227105613"/>
    </cacheField>
    <cacheField name="2018" numFmtId="0">
      <sharedItems containsMixedTypes="1" containsNumber="1" containsInteger="1" minValue="11625012" maxValue="844025016285"/>
    </cacheField>
    <cacheField name="2019" numFmtId="0">
      <sharedItems containsMixedTypes="1" containsNumber="1" containsInteger="1" minValue="1012239" maxValue="1159972190290"/>
    </cacheField>
    <cacheField name="2020" numFmtId="0">
      <sharedItems containsMixedTypes="1" containsNumber="1" containsInteger="1" minValue="1807731" maxValue="1159064290588"/>
    </cacheField>
    <cacheField name="2021" numFmtId="0">
      <sharedItems containsMixedTypes="1" containsNumber="1" containsInteger="1" minValue="933596" maxValue="1273604510260"/>
    </cacheField>
    <cacheField name="2022" numFmtId="0">
      <sharedItems containsMixedTypes="1" containsNumber="1" containsInteger="1" minValue="9678" maxValue="1419355844510"/>
    </cacheField>
    <cacheField name="2023" numFmtId="0">
      <sharedItems containsMixedTypes="1" containsNumber="1" containsInteger="1" minValue="2220169" maxValue="1846265314783"/>
    </cacheField>
    <cacheField name="2024" numFmtId="0">
      <sharedItems containsMixedTypes="1" containsNumber="1" containsInteger="1" minValue="2853879" maxValue="2336209738234"/>
    </cacheField>
    <cacheField name="2025" numFmtId="164">
      <sharedItems containsSemiMixedTypes="0" containsString="0" containsNumber="1" containsInteger="1" minValue="962831" maxValue="2636945177093" count="457">
        <n v="2636945177093"/>
        <n v="1762524109631"/>
        <n v="976366250242"/>
        <n v="825827177985"/>
        <n v="476465851952"/>
        <n v="404939640344"/>
        <n v="398524304655"/>
        <n v="369124624143"/>
        <n v="368424977738"/>
        <n v="334323149472"/>
        <n v="323518233716"/>
        <n v="321460962687"/>
        <n v="293553702356"/>
        <n v="267600928302"/>
        <n v="237143147571"/>
        <n v="207446952761"/>
        <n v="207383623238"/>
        <n v="195281079665"/>
        <n v="160256190662"/>
        <n v="158624365124"/>
        <n v="153125431909"/>
        <n v="152839623493"/>
        <n v="149213346317"/>
        <n v="139789544783"/>
        <n v="137490013400"/>
        <n v="124598263314"/>
        <n v="119757560801"/>
        <n v="115438330322"/>
        <n v="109821683059"/>
        <n v="103220983786"/>
        <n v="97293735354"/>
        <n v="96559447953"/>
        <n v="95026931425"/>
        <n v="95025191729"/>
        <n v="84785129318"/>
        <n v="84753697884"/>
        <n v="84104474442"/>
        <n v="80268875235"/>
        <n v="80257625640"/>
        <n v="77978966562"/>
        <n v="70994225837"/>
        <n v="70143007919"/>
        <n v="68891413862"/>
        <n v="68163363559"/>
        <n v="61667434001"/>
        <n v="58113066656"/>
        <n v="55328731769"/>
        <n v="54233099030"/>
        <n v="52397515744"/>
        <n v="52366319886"/>
        <n v="50315661248"/>
        <n v="49563966585"/>
        <n v="41327355630"/>
        <n v="40585878738"/>
        <n v="38552269581"/>
        <n v="38353786313"/>
        <n v="37923935499"/>
        <n v="36008263035"/>
        <n v="35823084937"/>
        <n v="35670141518"/>
        <n v="35445649353"/>
        <n v="35332425498"/>
        <n v="35303481131"/>
        <n v="34680458373"/>
        <n v="33506975793"/>
        <n v="33491150037"/>
        <n v="32520493439"/>
        <n v="31956310859"/>
        <n v="31440326233"/>
        <n v="30023559654"/>
        <n v="28871797258"/>
        <n v="27583104549"/>
        <n v="26746738737"/>
        <n v="25564629244"/>
        <n v="24538531148"/>
        <n v="24204935246"/>
        <n v="23640313485"/>
        <n v="23406501411"/>
        <n v="23352914098"/>
        <n v="22981792111"/>
        <n v="22519603293"/>
        <n v="22345537971"/>
        <n v="22052890381"/>
        <n v="20995834886"/>
        <n v="19250170336"/>
        <n v="19089633471"/>
        <n v="16846220687"/>
        <n v="16205459482"/>
        <n v="16158301735"/>
        <n v="15707209775"/>
        <n v="15198502147"/>
        <n v="15159190902"/>
        <n v="14852942227"/>
        <n v="14665461869"/>
        <n v="14313243213"/>
        <n v="13925334562"/>
        <n v="13354083196"/>
        <n v="13254260880"/>
        <n v="13002369536"/>
        <n v="12889681156"/>
        <n v="12733511135"/>
        <n v="12549031195"/>
        <n v="12327928000"/>
        <n v="11222583746"/>
        <n v="10752223707"/>
        <n v="10079463892"/>
        <n v="9862808795"/>
        <n v="9674819291"/>
        <n v="9497952563"/>
        <n v="9427822651"/>
        <n v="9398595753"/>
        <n v="9383735257"/>
        <n v="9205307903"/>
        <n v="8908344743"/>
        <n v="8783140311"/>
        <n v="8763845965"/>
        <n v="8577081902"/>
        <n v="8566474795"/>
        <n v="8390216029"/>
        <n v="8161141412"/>
        <n v="7880870433"/>
        <n v="7760215555"/>
        <n v="7647036007"/>
        <n v="7611619254"/>
        <n v="7600691527"/>
        <n v="7575969644"/>
        <n v="7503870552"/>
        <n v="7398360071"/>
        <n v="7353898848"/>
        <n v="7266247133"/>
        <n v="6985140334"/>
        <n v="6945006653"/>
        <n v="6857551563"/>
        <n v="6838530842"/>
        <n v="6819115530"/>
        <n v="6294054060"/>
        <n v="6242721483"/>
        <n v="6181109959"/>
        <n v="6140879968"/>
        <n v="6112429237"/>
        <n v="6076628259"/>
        <n v="6061523895"/>
        <n v="6001384782"/>
        <n v="5964326049"/>
        <n v="5807389552"/>
        <n v="5801316211"/>
        <n v="5767495959"/>
        <n v="5747286464"/>
        <n v="5735199017"/>
        <n v="5529287261"/>
        <n v="5506199922"/>
        <n v="5456209135"/>
        <n v="5335931603"/>
        <n v="5251302550"/>
        <n v="5230514421"/>
        <n v="5195066924"/>
        <n v="5184161573"/>
        <n v="5023404053"/>
        <n v="4964691673"/>
        <n v="4847931688"/>
        <n v="4720652037"/>
        <n v="4718948600"/>
        <n v="4708633074"/>
        <n v="4624546369"/>
        <n v="4513742263"/>
        <n v="4447307413"/>
        <n v="4437894169"/>
        <n v="4323142373"/>
        <n v="4191059056"/>
        <n v="4146600837"/>
        <n v="3974198905"/>
        <n v="3933666258"/>
        <n v="3933091879"/>
        <n v="3910983691"/>
        <n v="3892220893"/>
        <n v="3869639509"/>
        <n v="3834560327"/>
        <n v="3819107456"/>
        <n v="3758847724"/>
        <n v="3665915895"/>
        <n v="3661298893"/>
        <n v="3579079350"/>
        <n v="3470393542"/>
        <n v="3417973292"/>
        <n v="3379299399"/>
        <n v="3328643611"/>
        <n v="3299824175"/>
        <n v="3289380141"/>
        <n v="3278899635"/>
        <n v="3213339946"/>
        <n v="3202175911"/>
        <n v="3172238048"/>
        <n v="3170572721"/>
        <n v="3166050336"/>
        <n v="3122406264"/>
        <n v="3093575229"/>
        <n v="3053144834"/>
        <n v="3030759137"/>
        <n v="3005230534"/>
        <n v="2977333911"/>
        <n v="2969907103"/>
        <n v="2951221886"/>
        <n v="2913263646"/>
        <n v="2907893156"/>
        <n v="2849364587"/>
        <n v="2844482100"/>
        <n v="2840308163"/>
        <n v="2808492785"/>
        <n v="2725422653"/>
        <n v="2712194897"/>
        <n v="2703864238"/>
        <n v="2678312638"/>
        <n v="2664014312"/>
        <n v="2599683633"/>
        <n v="2585231585"/>
        <n v="2585188124"/>
        <n v="2526299590"/>
        <n v="2474898777"/>
        <n v="2427244282"/>
        <n v="2414822009"/>
        <n v="2364813103"/>
        <n v="2301613561"/>
        <n v="2297633979"/>
        <n v="2255970559"/>
        <n v="2228107680"/>
        <n v="2203803243"/>
        <n v="2180426976"/>
        <n v="2178916117"/>
        <n v="2177224508"/>
        <n v="2170898463"/>
        <n v="2160159199"/>
        <n v="2159419131"/>
        <n v="2110600799"/>
        <n v="2090475034"/>
        <n v="2084499891"/>
        <n v="2042251306"/>
        <n v="2029377596"/>
        <n v="2025010698"/>
        <n v="1984475936"/>
        <n v="1968327861"/>
        <n v="1938104482"/>
        <n v="1883449608"/>
        <n v="1792023711"/>
        <n v="1765548945"/>
        <n v="1738187211"/>
        <n v="1728502320"/>
        <n v="1712154405"/>
        <n v="1707092500"/>
        <n v="1702602048"/>
        <n v="1697890202"/>
        <n v="1606783457"/>
        <n v="1594462166"/>
        <n v="1571742905"/>
        <n v="1562863769"/>
        <n v="1559682439"/>
        <n v="1556449333"/>
        <n v="1522998542"/>
        <n v="1517832327"/>
        <n v="1517441077"/>
        <n v="1516697316"/>
        <n v="1506658070"/>
        <n v="1500702054"/>
        <n v="1499144400"/>
        <n v="1487894401"/>
        <n v="1472818080"/>
        <n v="1450846820"/>
        <n v="1431310519"/>
        <n v="1430243629"/>
        <n v="1412398989"/>
        <n v="1408159290"/>
        <n v="1400562601"/>
        <n v="1377397521"/>
        <n v="1317970456"/>
        <n v="1308132998"/>
        <n v="1307618651"/>
        <n v="1297660062"/>
        <n v="1295989644"/>
        <n v="1278913289"/>
        <n v="1272488716"/>
        <n v="1265383291"/>
        <n v="1263348957"/>
        <n v="1242530064"/>
        <n v="1208957082"/>
        <n v="1186897743"/>
        <n v="1169285045"/>
        <n v="1159324305"/>
        <n v="1155479500"/>
        <n v="1154403089"/>
        <n v="1144734539"/>
        <n v="1115121196"/>
        <n v="1099607747"/>
        <n v="1081556974"/>
        <n v="1079734382"/>
        <n v="1070430898"/>
        <n v="1061427854"/>
        <n v="1041742785"/>
        <n v="1032645487"/>
        <n v="1011397279"/>
        <n v="1010928111"/>
        <n v="991472194"/>
        <n v="988786950"/>
        <n v="938928537"/>
        <n v="937832141"/>
        <n v="933583965"/>
        <n v="930806629"/>
        <n v="929995438"/>
        <n v="911781365"/>
        <n v="878106794"/>
        <n v="869173699"/>
        <n v="863688432"/>
        <n v="839675532"/>
        <n v="839110779"/>
        <n v="835812998"/>
        <n v="831912049"/>
        <n v="826340097"/>
        <n v="821612115"/>
        <n v="804206064"/>
        <n v="799110441"/>
        <n v="796652298"/>
        <n v="794735843"/>
        <n v="788631125"/>
        <n v="785554963"/>
        <n v="783266512"/>
        <n v="779156851"/>
        <n v="778029196"/>
        <n v="777020022"/>
        <n v="774966196"/>
        <n v="774355155"/>
        <n v="772333980"/>
        <n v="772287518"/>
        <n v="771755032"/>
        <n v="755510492"/>
        <n v="727448135"/>
        <n v="711557938"/>
        <n v="705022820"/>
        <n v="698413686"/>
        <n v="693490796"/>
        <n v="687893471"/>
        <n v="683128604"/>
        <n v="675805819"/>
        <n v="672462402"/>
        <n v="663424160"/>
        <n v="656902975"/>
        <n v="652351024"/>
        <n v="639079044"/>
        <n v="631242506"/>
        <n v="629087640"/>
        <n v="627867551"/>
        <n v="622529134"/>
        <n v="612152783"/>
        <n v="586453000"/>
        <n v="586214200"/>
        <n v="579239496"/>
        <n v="569863218"/>
        <n v="561199231"/>
        <n v="542637116"/>
        <n v="540284498"/>
        <n v="523121428"/>
        <n v="519727191"/>
        <n v="518332946"/>
        <n v="517832670"/>
        <n v="509472895"/>
        <n v="506337359"/>
        <n v="504892108"/>
        <n v="501594447"/>
        <n v="493585572"/>
        <n v="492706231"/>
        <n v="482336383"/>
        <n v="481968492"/>
        <n v="466390668"/>
        <n v="463269602"/>
        <n v="459307574"/>
        <n v="453669954"/>
        <n v="446050214"/>
        <n v="433922855"/>
        <n v="427906943"/>
        <n v="417852060"/>
        <n v="397877856"/>
        <n v="391873433"/>
        <n v="388213631"/>
        <n v="386994246"/>
        <n v="370065574"/>
        <n v="366746655"/>
        <n v="346979273"/>
        <n v="338693527"/>
        <n v="329434939"/>
        <n v="328592212"/>
        <n v="322433953"/>
        <n v="320456169"/>
        <n v="315492005"/>
        <n v="310912654"/>
        <n v="309119395"/>
        <n v="307503980"/>
        <n v="301443070"/>
        <n v="301276705"/>
        <n v="299644213"/>
        <n v="295768976"/>
        <n v="278290662"/>
        <n v="272727337"/>
        <n v="269434811"/>
        <n v="267956853"/>
        <n v="266814139"/>
        <n v="265794951"/>
        <n v="262732632"/>
        <n v="261792425"/>
        <n v="254295402"/>
        <n v="234048111"/>
        <n v="227562380"/>
        <n v="222639406"/>
        <n v="220447804"/>
        <n v="218521596"/>
        <n v="213259668"/>
        <n v="206882398"/>
        <n v="201803869"/>
        <n v="182691787"/>
        <n v="174079650"/>
        <n v="166480498"/>
        <n v="141139477"/>
        <n v="139740327"/>
        <n v="133129851"/>
        <n v="132053702"/>
        <n v="131821775"/>
        <n v="129279293"/>
        <n v="127283951"/>
        <n v="126871803"/>
        <n v="124256358"/>
        <n v="122939035"/>
        <n v="119465950"/>
        <n v="115320587"/>
        <n v="114616215"/>
        <n v="113115818"/>
        <n v="112956083"/>
        <n v="108094260"/>
        <n v="90320478"/>
        <n v="88560605"/>
        <n v="84318234"/>
        <n v="79253556"/>
        <n v="77670387"/>
        <n v="76504630"/>
        <n v="64392212"/>
        <n v="61368658"/>
        <n v="60770836"/>
        <n v="58253840"/>
        <n v="52565430"/>
        <n v="52266798"/>
        <n v="45500164"/>
        <n v="39617022"/>
        <n v="37422770"/>
        <n v="33863239"/>
        <n v="18936052"/>
        <n v="16413898"/>
        <n v="15875016"/>
        <n v="10532035"/>
        <n v="7343942"/>
        <n v="4738075"/>
        <n v="4624129"/>
        <n v="962831"/>
      </sharedItems>
    </cacheField>
    <cacheField name="% Market Share" numFmtId="9">
      <sharedItems containsSemiMixedTypes="0" containsString="0" containsNumber="1" minValue="6.0619789871420586E-8" maxValue="0.1660219317178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n v="401019703919"/>
    <n v="438049332289"/>
    <n v="401151273431"/>
    <n v="737664857508"/>
    <n v="954126144285"/>
    <n v="1140219834910"/>
    <n v="1273604510260"/>
    <n v="1350563145340"/>
    <n v="1846265314783"/>
    <n v="2336209738234"/>
    <x v="0"/>
    <n v="0.16602193171785454"/>
  </r>
  <r>
    <x v="1"/>
    <n v="796491678198"/>
    <n v="691485630487"/>
    <n v="760274965686"/>
    <n v="844025016285"/>
    <n v="1159972190290"/>
    <n v="1159064290588"/>
    <n v="1039735011705"/>
    <n v="1419355844510"/>
    <n v="1538614062333"/>
    <n v="1531113495235"/>
    <x v="1"/>
    <n v="0.11096842661811251"/>
  </r>
  <r>
    <x v="2"/>
    <n v="193318080565"/>
    <n v="178251663997"/>
    <n v="266280948000"/>
    <n v="425339096920"/>
    <n v="409085020820"/>
    <n v="456021202426"/>
    <n v="741267742933"/>
    <n v="700371524155"/>
    <n v="913454119789"/>
    <n v="1007599401788"/>
    <x v="2"/>
    <n v="6.1471968525335069E-2"/>
  </r>
  <r>
    <x v="3"/>
    <n v="1078794153439"/>
    <n v="794244966369"/>
    <n v="796227105613"/>
    <n v="740737604633"/>
    <n v="731131857804"/>
    <n v="769554493784"/>
    <n v="848984310207"/>
    <n v="653021756567"/>
    <n v="812143623253"/>
    <n v="851166825259"/>
    <x v="3"/>
    <n v="5.199403633613682E-2"/>
  </r>
  <r>
    <x v="4"/>
    <n v="227369877985"/>
    <n v="252103441674"/>
    <n v="285510835691"/>
    <n v="288937479848"/>
    <n v="296791336129"/>
    <n v="286928269215"/>
    <n v="322330416411"/>
    <n v="334428245773"/>
    <n v="371470253323"/>
    <n v="397864622499"/>
    <x v="4"/>
    <n v="2.9998265351071612E-2"/>
  </r>
  <r>
    <x v="5"/>
    <n v="139570629011"/>
    <n v="168100888478"/>
    <n v="179157860597"/>
    <n v="180869581665"/>
    <n v="207748953651"/>
    <n v="266312573275"/>
    <n v="322946551589"/>
    <n v="317063655453"/>
    <n v="344716476892"/>
    <n v="365561406823"/>
    <x v="5"/>
    <n v="2.5494978774324786E-2"/>
  </r>
  <r>
    <x v="6"/>
    <n v="61220001699"/>
    <n v="73276234257"/>
    <n v="138664811841"/>
    <n v="162197869445"/>
    <n v="181508275607"/>
    <n v="289548466633"/>
    <n v="462144194376"/>
    <n v="316082159842"/>
    <n v="337947015834"/>
    <n v="382139305554"/>
    <x v="6"/>
    <n v="2.5091069571752573E-2"/>
  </r>
  <r>
    <x v="7"/>
    <n v="231589985932"/>
    <n v="223911672284"/>
    <n v="244769491993"/>
    <n v="233272520227"/>
    <n v="252765918859"/>
    <n v="259207196290"/>
    <n v="288118523385"/>
    <n v="273253176117"/>
    <n v="293950705838"/>
    <n v="317338521279"/>
    <x v="7"/>
    <n v="2.3240067210045963E-2"/>
  </r>
  <r>
    <x v="8"/>
    <n v="104090468987"/>
    <n v="154138353708"/>
    <n v="225592068215"/>
    <n v="292316459614"/>
    <n v="354746646095"/>
    <n v="473490665545"/>
    <n v="639200363463"/>
    <n v="473173896280"/>
    <n v="568543762863"/>
    <n v="546475875937"/>
    <x v="8"/>
    <n v="2.3196017508638971E-2"/>
  </r>
  <r>
    <x v="9"/>
    <n v="123539150027"/>
    <n v="131549406007"/>
    <n v="143033511288"/>
    <n v="165318271954"/>
    <n v="179292012928"/>
    <n v="210037902104"/>
    <n v="274683443199"/>
    <n v="261767166605"/>
    <n v="268989800188"/>
    <n v="301223518949"/>
    <x v="9"/>
    <n v="2.1048968167979819E-2"/>
  </r>
  <r>
    <x v="10"/>
    <n v="143792346882"/>
    <n v="164002427924"/>
    <n v="192339200486"/>
    <n v="183546627648"/>
    <n v="206447749911"/>
    <n v="239302390982"/>
    <n v="267316177526"/>
    <n v="251606106266"/>
    <n v="283332170596"/>
    <n v="295372126423"/>
    <x v="10"/>
    <n v="2.0368691231833057E-2"/>
  </r>
  <r>
    <x v="11"/>
    <n v="98113770088"/>
    <n v="102000600381"/>
    <n v="46862257053"/>
    <n v="139932463243"/>
    <n v="200618405242"/>
    <n v="261909590611"/>
    <n v="325373383611"/>
    <n v="283106618211"/>
    <n v="326133496859"/>
    <n v="331414904426"/>
    <x v="11"/>
    <n v="2.023916555444363E-2"/>
  </r>
  <r>
    <x v="12"/>
    <n v="336559184999"/>
    <n v="270959291477"/>
    <n v="271752740225"/>
    <n v="254788541772"/>
    <n v="270605649679"/>
    <n v="277913105867"/>
    <n v="310930148287"/>
    <n v="259020741136"/>
    <n v="286767017397"/>
    <n v="293158265678"/>
    <x v="12"/>
    <n v="1.8482125890003816E-2"/>
  </r>
  <r>
    <x v="13"/>
    <n v="49524573842"/>
    <n v="54729684975"/>
    <n v="55476546618"/>
    <n v="64089640944"/>
    <n v="71670559572"/>
    <n v="81717994227"/>
    <n v="141325971873"/>
    <n v="132736848198"/>
    <n v="194121543607"/>
    <n v="254355030564"/>
    <x v="13"/>
    <n v="1.6848140580293245E-2"/>
  </r>
  <r>
    <x v="14"/>
    <n v="58712345067"/>
    <n v="66515016530"/>
    <n v="82696778596"/>
    <n v="92610330732"/>
    <n v="98634548445"/>
    <n v="100769114806"/>
    <n v="130793609849"/>
    <n v="138514321400"/>
    <n v="164594052760"/>
    <n v="191180288175"/>
    <x v="14"/>
    <n v="1.4930520283623298E-2"/>
  </r>
  <r>
    <x v="15"/>
    <n v="79769372951"/>
    <n v="89665029505"/>
    <n v="126589471036"/>
    <n v="123134555010"/>
    <n v="131166478983"/>
    <n v="120638009799"/>
    <n v="141810750733"/>
    <n v="159196691516"/>
    <n v="185375803384"/>
    <n v="184068020150"/>
    <x v="15"/>
    <n v="1.3060849397078338E-2"/>
  </r>
  <r>
    <x v="16"/>
    <n v="80431772807"/>
    <n v="88399977710"/>
    <n v="90906992123"/>
    <n v="125347467990"/>
    <n v="138991779605"/>
    <n v="168394640407"/>
    <n v="196814322343"/>
    <n v="151964660785"/>
    <n v="191719021741"/>
    <n v="215259496343"/>
    <x v="16"/>
    <n v="1.3056862173591643E-2"/>
  </r>
  <r>
    <x v="17"/>
    <n v="36501618963"/>
    <n v="41739511315"/>
    <n v="55375324047"/>
    <n v="84511906640"/>
    <n v="116362540497"/>
    <n v="103762597833"/>
    <n v="162559468968"/>
    <n v="143745956073"/>
    <n v="173475625649"/>
    <n v="192965356429"/>
    <x v="17"/>
    <n v="1.2294886657322463E-2"/>
  </r>
  <r>
    <x v="18"/>
    <n v="70862066699"/>
    <n v="75043187889"/>
    <n v="83457129565"/>
    <n v="82498208474"/>
    <n v="94367428643"/>
    <n v="108808246302"/>
    <n v="128402478786"/>
    <n v="123218663389"/>
    <n v="127050246368"/>
    <n v="143860713718"/>
    <x v="18"/>
    <n v="1.0089721460489696E-2"/>
  </r>
  <r>
    <x v="19"/>
    <n v="72761865613"/>
    <n v="85377851160"/>
    <n v="99226054854"/>
    <n v="103541167419"/>
    <n v="112339249741"/>
    <n v="115348642831"/>
    <n v="137851292062"/>
    <n v="131818687745"/>
    <n v="128045355670"/>
    <n v="135122985032"/>
    <x v="19"/>
    <n v="9.9869818091693936E-3"/>
  </r>
  <r>
    <x v="20"/>
    <n v="19610940509"/>
    <n v="21196920054"/>
    <n v="27941462880"/>
    <n v="32677200022"/>
    <n v="41137514608"/>
    <n v="53880782495"/>
    <n v="81073416337"/>
    <n v="83099128266"/>
    <n v="107762141767"/>
    <n v="125890107385"/>
    <x v="20"/>
    <n v="9.6407692588773124E-3"/>
  </r>
  <r>
    <x v="21"/>
    <n v="54244150197"/>
    <n v="50900906796"/>
    <n v="57138724203"/>
    <n v="78008178147"/>
    <n v="83128011494"/>
    <n v="75794134320"/>
    <n v="80866920075"/>
    <n v="71941074002"/>
    <n v="91745144190"/>
    <n v="116517003967"/>
    <x v="21"/>
    <n v="9.6227747758149632E-3"/>
  </r>
  <r>
    <x v="22"/>
    <n v="64528112606"/>
    <n v="67945119584"/>
    <n v="95108658121"/>
    <n v="115639239748"/>
    <n v="134550610685"/>
    <n v="212123049037"/>
    <n v="260052055513"/>
    <n v="155507621794"/>
    <n v="169694235057"/>
    <n v="210084505363"/>
    <x v="22"/>
    <n v="9.39446455270764E-3"/>
  </r>
  <r>
    <x v="23"/>
    <n v="2989796962"/>
    <n v="4778388007"/>
    <n v="6985025993"/>
    <n v="11232279501"/>
    <n v="22266282405"/>
    <n v="40631500712"/>
    <n v="69732485187"/>
    <n v="92520706345"/>
    <n v="138982005013"/>
    <n v="158709721033"/>
    <x v="23"/>
    <n v="8.8011424964162949E-3"/>
  </r>
  <r>
    <x v="24"/>
    <n v="26434946843"/>
    <n v="41026475350"/>
    <n v="44962246888"/>
    <n v="51713456897"/>
    <n v="58497393142"/>
    <n v="70021497153"/>
    <n v="91958865318"/>
    <n v="75589299796"/>
    <n v="106722966744"/>
    <n v="138938613404"/>
    <x v="24"/>
    <n v="8.6563641196916192E-3"/>
  </r>
  <r>
    <x v="25"/>
    <n v="10019493433"/>
    <n v="10348198440"/>
    <n v="12295171840"/>
    <n v="15331712544"/>
    <n v="22181889860"/>
    <n v="75005511786"/>
    <n v="150934489727"/>
    <n v="112621137502"/>
    <n v="134584940301"/>
    <n v="138042128484"/>
    <x v="25"/>
    <n v="7.8447002022562756E-3"/>
  </r>
  <r>
    <x v="26"/>
    <n v="9982534106"/>
    <n v="13977968771"/>
    <n v="23257654522"/>
    <n v="33481145307"/>
    <n v="65700392584"/>
    <n v="102399817417"/>
    <n v="170853014103"/>
    <n v="149621966489"/>
    <n v="173713858472"/>
    <n v="170567160887"/>
    <x v="26"/>
    <n v="7.5399298228562388E-3"/>
  </r>
  <r>
    <x v="27"/>
    <n v="72030445850"/>
    <n v="72533113720"/>
    <n v="82115283510"/>
    <n v="75399332938"/>
    <n v="89339132736"/>
    <n v="89532291663"/>
    <n v="100981721972"/>
    <n v="87764696356"/>
    <n v="102244635105"/>
    <n v="119311736307"/>
    <x v="27"/>
    <n v="7.2679912956970429E-3"/>
  </r>
  <r>
    <x v="28"/>
    <n v="25890715876"/>
    <n v="31182638473"/>
    <n v="39229992015"/>
    <n v="42137096519"/>
    <n v="54727979358"/>
    <n v="60106687119"/>
    <n v="78962335616"/>
    <n v="80608436940"/>
    <n v="88294929090"/>
    <n v="94484886142"/>
    <x v="28"/>
    <n v="6.9143674750421725E-3"/>
  </r>
  <r>
    <x v="29"/>
    <n v="13636562759"/>
    <n v="18395138748"/>
    <n v="20162521986"/>
    <n v="25409793552"/>
    <n v="31790174842"/>
    <n v="46713146990"/>
    <n v="75654681722"/>
    <n v="65430025498"/>
    <n v="88438895778"/>
    <n v="109175663726"/>
    <x v="29"/>
    <n v="6.4987877908258369E-3"/>
  </r>
  <r>
    <x v="30"/>
    <n v="31511565306"/>
    <n v="23935189281"/>
    <n v="33919337807"/>
    <n v="42647008549"/>
    <n v="60716057100"/>
    <n v="110306298550"/>
    <n v="150316948507"/>
    <n v="88437863988"/>
    <n v="114234366579"/>
    <n v="119916484260"/>
    <x v="30"/>
    <n v="6.1256085366643625E-3"/>
  </r>
  <r>
    <x v="31"/>
    <n v="39735043198"/>
    <n v="42457847201"/>
    <n v="48507228093"/>
    <n v="47221844839"/>
    <n v="55013584868"/>
    <n v="64077726118"/>
    <n v="80947839430"/>
    <n v="78602958979"/>
    <n v="94739411390"/>
    <n v="104966036065"/>
    <x v="31"/>
    <n v="6.0793778399441155E-3"/>
  </r>
  <r>
    <x v="32"/>
    <n v="64913314851"/>
    <n v="59798742857"/>
    <n v="64248864674"/>
    <n v="55788263286"/>
    <n v="62209129517"/>
    <n v="67266510373"/>
    <n v="86138977466"/>
    <n v="71621885778"/>
    <n v="81630872543"/>
    <n v="95882548858"/>
    <x v="32"/>
    <n v="5.9828906787477701E-3"/>
  </r>
  <r>
    <x v="33"/>
    <n v="25448838334"/>
    <n v="39889164597"/>
    <n v="68600341112"/>
    <n v="64208561297"/>
    <n v="63783922878"/>
    <n v="63104556877"/>
    <n v="66335340206"/>
    <n v="63713570960"/>
    <n v="65197845627"/>
    <n v="73184927027"/>
    <x v="33"/>
    <n v="5.9827811475777508E-3"/>
  </r>
  <r>
    <x v="34"/>
    <n v="9888084549"/>
    <n v="10975282398"/>
    <n v="10171932623"/>
    <n v="16787789697"/>
    <n v="25242989099"/>
    <n v="32004304009"/>
    <n v="38570747953"/>
    <n v="44361514704"/>
    <n v="58610500355"/>
    <n v="66813339664"/>
    <x v="34"/>
    <n v="5.3380673487646128E-3"/>
  </r>
  <r>
    <x v="35"/>
    <n v="10137604083"/>
    <n v="17446717907"/>
    <n v="28231136394"/>
    <n v="28362764751"/>
    <n v="36747591596"/>
    <n v="41115099840"/>
    <n v="42833673135"/>
    <n v="53335774889"/>
    <n v="60773060458"/>
    <n v="69339040875"/>
    <x v="35"/>
    <n v="5.3360884273085767E-3"/>
  </r>
  <r>
    <x v="36"/>
    <n v="4376307469"/>
    <n v="5355240472"/>
    <n v="8500909695"/>
    <n v="13916974745"/>
    <n v="20372916012"/>
    <n v="23745786650"/>
    <n v="37351683179"/>
    <n v="40078530200"/>
    <n v="46369598015"/>
    <n v="63812090051"/>
    <x v="36"/>
    <n v="5.2952133530394258E-3"/>
  </r>
  <r>
    <x v="37"/>
    <n v="16553825320"/>
    <n v="19401093676"/>
    <n v="21931766464"/>
    <n v="24349691965"/>
    <n v="29272959077"/>
    <n v="33934214079"/>
    <n v="41946583140"/>
    <n v="50725044740"/>
    <n v="59981910449"/>
    <n v="68211898096"/>
    <x v="37"/>
    <n v="5.0537242257062513E-3"/>
  </r>
  <r>
    <x v="38"/>
    <n v="3029154578"/>
    <n v="5046146581"/>
    <n v="9914037286"/>
    <n v="15284998590"/>
    <n v="26766604978"/>
    <n v="32099054051"/>
    <n v="42110046809"/>
    <n v="39967198136"/>
    <n v="44482496514"/>
    <n v="60524248026"/>
    <x v="38"/>
    <n v="5.0530159517879437E-3"/>
  </r>
  <r>
    <x v="39"/>
    <n v="4305648565"/>
    <n v="6116108531"/>
    <n v="9165451690"/>
    <n v="8710281674"/>
    <n v="11058560588"/>
    <n v="17860564832"/>
    <n v="27665833852"/>
    <n v="35506401190"/>
    <n v="47289954938"/>
    <n v="59964094709"/>
    <x v="39"/>
    <n v="4.909551694304579E-3"/>
  </r>
  <r>
    <x v="40"/>
    <n v="92541916501"/>
    <n v="71672850465"/>
    <n v="65343796725"/>
    <n v="60974424524"/>
    <n v="62086516172"/>
    <n v="60994313061"/>
    <n v="71980556362"/>
    <n v="65969464693"/>
    <n v="73198290146"/>
    <n v="70147534279"/>
    <x v="40"/>
    <n v="4.4697927801692289E-3"/>
  </r>
  <r>
    <x v="41"/>
    <s v=""/>
    <s v=""/>
    <n v="3093363747"/>
    <n v="4540756944"/>
    <n v="12082656100"/>
    <n v="23720186425"/>
    <n v="30399579806"/>
    <n v="30609011143"/>
    <n v="51859267712"/>
    <n v="72623228271"/>
    <x v="41"/>
    <n v="4.4162001441573548E-3"/>
  </r>
  <r>
    <x v="42"/>
    <n v="50399175996"/>
    <n v="50071351569"/>
    <n v="55597863185"/>
    <n v="49985851295"/>
    <n v="48778443832"/>
    <n v="46688985143"/>
    <n v="53527824087"/>
    <n v="48344681113"/>
    <n v="49242321276"/>
    <n v="63455145291"/>
    <x v="42"/>
    <n v="4.3373998471793193E-3"/>
  </r>
  <r>
    <x v="43"/>
    <n v="1915210468"/>
    <n v="1511034330"/>
    <n v="1971521214"/>
    <n v="1991251334"/>
    <n v="1822972638"/>
    <n v="1706857573"/>
    <n v="47680933178"/>
    <n v="42688550416"/>
    <n v="54504968999"/>
    <n v="65237372445"/>
    <x v="43"/>
    <n v="4.2915618378259815E-3"/>
  </r>
  <r>
    <x v="44"/>
    <n v="22639860532"/>
    <n v="20607382262"/>
    <n v="27787686282"/>
    <n v="40458455355"/>
    <n v="60699782120"/>
    <n v="64985803178"/>
    <n v="79579033567"/>
    <n v="69710296354"/>
    <n v="68802980256"/>
    <n v="65623153739"/>
    <x v="44"/>
    <n v="3.8825784494374584E-3"/>
  </r>
  <r>
    <x v="45"/>
    <n v="10245064906"/>
    <n v="8199083810"/>
    <n v="11260093878"/>
    <n v="15414677158"/>
    <n v="26041250528"/>
    <n v="29723672692"/>
    <n v="38825033458"/>
    <n v="36076230023"/>
    <n v="45559688268"/>
    <n v="55123915397"/>
    <x v="45"/>
    <n v="3.6587956655639237E-3"/>
  </r>
  <r>
    <x v="46"/>
    <n v="5377117231"/>
    <n v="7612011180"/>
    <n v="10305302236"/>
    <n v="11316471602"/>
    <n v="13948117912"/>
    <n v="16130599427"/>
    <n v="22683990253"/>
    <n v="28397839032"/>
    <n v="33818307943"/>
    <n v="41824017687"/>
    <x v="46"/>
    <n v="3.4834940853472446E-3"/>
  </r>
  <r>
    <x v="47"/>
    <n v="80953093247"/>
    <n v="78638088220"/>
    <n v="75179228240"/>
    <n v="56003566599"/>
    <n v="48667148629"/>
    <n v="47618973863"/>
    <n v="50130807182"/>
    <n v="46709449905"/>
    <n v="49354522136"/>
    <n v="50038124529"/>
    <x v="47"/>
    <n v="3.4145131048694357E-3"/>
  </r>
  <r>
    <x v="48"/>
    <n v="16037960813"/>
    <n v="15582448752"/>
    <n v="25713944718"/>
    <n v="29124946579"/>
    <n v="32867441406"/>
    <n v="37424926436"/>
    <n v="46351113531"/>
    <n v="46309366325"/>
    <n v="37152332080"/>
    <n v="43360029179"/>
    <x v="48"/>
    <n v="3.2989448762926537E-3"/>
  </r>
  <r>
    <x v="49"/>
    <s v=""/>
    <n v="963847"/>
    <n v="110823021"/>
    <n v="540328234"/>
    <n v="11632472248"/>
    <n v="16477350379"/>
    <n v="24952462547"/>
    <n v="30197064525"/>
    <n v="38062250345"/>
    <n v="44969688308"/>
    <x v="49"/>
    <n v="3.2969807866893705E-3"/>
  </r>
  <r>
    <x v="50"/>
    <n v="2198514445"/>
    <n v="1794708924"/>
    <n v="2375921875"/>
    <n v="2040676316"/>
    <n v="4934826193"/>
    <n v="7489854427"/>
    <n v="16572480084"/>
    <n v="19990668237"/>
    <n v="23968310432"/>
    <n v="31492715689"/>
    <x v="50"/>
    <n v="3.1678714250946843E-3"/>
  </r>
  <r>
    <x v="51"/>
    <n v="134880548092"/>
    <n v="121998518345"/>
    <n v="117335216565"/>
    <n v="100137578042"/>
    <n v="99143015000"/>
    <n v="44756797559"/>
    <n v="42860727454"/>
    <n v="40700028166"/>
    <n v="48020849809"/>
    <n v="45850635977"/>
    <x v="51"/>
    <n v="3.120544768060866E-3"/>
  </r>
  <r>
    <x v="52"/>
    <n v="7908448125"/>
    <n v="4602735696"/>
    <n v="4401256236"/>
    <n v="13763057442"/>
    <n v="14231057753"/>
    <n v="17414034653"/>
    <n v="23689850946"/>
    <n v="24652672772"/>
    <n v="32678106888"/>
    <n v="35661167685"/>
    <x v="52"/>
    <n v="2.6019681691097094E-3"/>
  </r>
  <r>
    <x v="53"/>
    <n v="5336272533"/>
    <n v="7010836016"/>
    <n v="8757812673"/>
    <n v="8781050095"/>
    <n v="10658384932"/>
    <n v="14904413614"/>
    <n v="23744420085"/>
    <n v="23323568965"/>
    <n v="27908752551"/>
    <n v="33086458806"/>
    <x v="53"/>
    <n v="2.5552848224086227E-3"/>
  </r>
  <r>
    <x v="54"/>
    <n v="6047431851"/>
    <n v="6077324581"/>
    <n v="5520586435"/>
    <n v="5088653543"/>
    <n v="4969078070"/>
    <n v="7301009097"/>
    <n v="11107796242"/>
    <n v="12815126229"/>
    <n v="15490460838"/>
    <n v="21739183164"/>
    <x v="54"/>
    <n v="2.4272488952542864E-3"/>
  </r>
  <r>
    <x v="55"/>
    <n v="2746153160"/>
    <n v="3381137293"/>
    <n v="6793181453"/>
    <n v="6605940816"/>
    <n v="10113632738"/>
    <n v="16186778368"/>
    <n v="20155374263"/>
    <n v="19846988902"/>
    <n v="23592888577"/>
    <n v="29360709117"/>
    <x v="55"/>
    <n v="2.4147523989853123E-3"/>
  </r>
  <r>
    <x v="56"/>
    <n v="9967368533"/>
    <n v="12586108058"/>
    <n v="11824303666"/>
    <n v="9336077770"/>
    <n v="11572460925"/>
    <n v="15387025292"/>
    <n v="19576142471"/>
    <n v="21973304023"/>
    <n v="25625368725"/>
    <n v="32445957073"/>
    <x v="56"/>
    <n v="2.3876890140083649E-3"/>
  </r>
  <r>
    <x v="57"/>
    <n v="5736954650"/>
    <n v="6170694826"/>
    <n v="12799674963"/>
    <n v="14003041777"/>
    <n v="15776481989"/>
    <n v="18623450226"/>
    <n v="21880576050"/>
    <n v="20800009035"/>
    <n v="24350816608"/>
    <n v="28411609174"/>
    <x v="57"/>
    <n v="2.2670783749344811E-3"/>
  </r>
  <r>
    <x v="58"/>
    <n v="9706671228"/>
    <n v="12862829632"/>
    <n v="17516538506"/>
    <n v="19828807755"/>
    <n v="23512584165"/>
    <n v="27316414184"/>
    <n v="32072705039"/>
    <n v="33046900811"/>
    <n v="37086119566"/>
    <n v="36428661616"/>
    <x v="58"/>
    <n v="2.2554195714793064E-3"/>
  </r>
  <r>
    <x v="59"/>
    <n v="21758328770"/>
    <n v="23567433761"/>
    <n v="28946526511"/>
    <n v="27687305275"/>
    <n v="30442900553"/>
    <n v="26134483150"/>
    <n v="30256065410"/>
    <n v="30652181063"/>
    <n v="34431765044"/>
    <n v="30938484645"/>
    <x v="59"/>
    <n v="2.2457902617437487E-3"/>
  </r>
  <r>
    <x v="60"/>
    <n v="1321334987"/>
    <n v="1962431216"/>
    <n v="5975537071"/>
    <n v="7225151815"/>
    <n v="8638972019"/>
    <n v="11135154579"/>
    <n v="15363687449"/>
    <n v="12662599214"/>
    <n v="15309633512"/>
    <n v="21101342164"/>
    <x v="60"/>
    <n v="2.2316562466672919E-3"/>
  </r>
  <r>
    <x v="61"/>
    <n v="4510272674"/>
    <n v="6717190342"/>
    <n v="9603726191"/>
    <n v="11560832980"/>
    <n v="17262228873"/>
    <n v="28997645508"/>
    <n v="42813922355"/>
    <n v="34000575797"/>
    <n v="46964254287"/>
    <n v="46025408629"/>
    <x v="61"/>
    <n v="2.224527678623126E-3"/>
  </r>
  <r>
    <x v="62"/>
    <n v="1942958476"/>
    <n v="1751440214"/>
    <n v="1255843032"/>
    <n v="1343946300"/>
    <n v="2001925653"/>
    <n v="1498253468"/>
    <n v="1876616825"/>
    <n v="426008416"/>
    <n v="2698747128"/>
    <n v="8190959545"/>
    <x v="62"/>
    <n v="2.222705342776543E-3"/>
  </r>
  <r>
    <x v="63"/>
    <n v="37494939192"/>
    <n v="34340173187"/>
    <n v="38722897691"/>
    <n v="37142750544"/>
    <n v="40762457997"/>
    <n v="50093743991"/>
    <n v="52287272801"/>
    <n v="35021949464"/>
    <n v="30213898117"/>
    <n v="33602654480"/>
    <x v="63"/>
    <n v="2.1834798622144581E-3"/>
  </r>
  <r>
    <x v="64"/>
    <n v="6353830515"/>
    <n v="8056121604"/>
    <n v="8465209824"/>
    <n v="6775139769"/>
    <n v="8169795609"/>
    <n v="9878203391"/>
    <n v="13304496431"/>
    <n v="15979286779"/>
    <n v="19971052167"/>
    <n v="23686082263"/>
    <x v="64"/>
    <n v="2.1095974597810378E-3"/>
  </r>
  <r>
    <x v="65"/>
    <n v="28938254353"/>
    <n v="16466825914"/>
    <n v="9234887536"/>
    <n v="11088190126"/>
    <n v="11993276641"/>
    <n v="18550379136"/>
    <n v="21955517266"/>
    <n v="15235703224"/>
    <n v="27911122385"/>
    <n v="35663516244"/>
    <x v="65"/>
    <n v="2.1086010710032808E-3"/>
  </r>
  <r>
    <x v="66"/>
    <n v="2021498544"/>
    <n v="2060329664"/>
    <n v="2703931933"/>
    <n v="3250334722"/>
    <n v="7126435778"/>
    <n v="8434596431"/>
    <n v="13824423110"/>
    <n v="17505131667"/>
    <n v="20199641027"/>
    <n v="23926418770"/>
    <x v="66"/>
    <n v="2.0474885818872594E-3"/>
  </r>
  <r>
    <x v="67"/>
    <n v="45432285782"/>
    <n v="41163763297"/>
    <n v="34814869782"/>
    <n v="30599334749"/>
    <n v="30600447430"/>
    <n v="30181393926"/>
    <n v="32581897983"/>
    <n v="33494656981"/>
    <n v="32836421540"/>
    <n v="31213241809"/>
    <x v="67"/>
    <n v="2.0119676758832816E-3"/>
  </r>
  <r>
    <x v="68"/>
    <n v="13326682570"/>
    <n v="12394481594"/>
    <n v="22693194433"/>
    <n v="20554126494"/>
    <n v="18471256375"/>
    <n v="17214475358"/>
    <n v="18427636160"/>
    <n v="18759028768"/>
    <n v="21298831944"/>
    <n v="21502334135"/>
    <x v="68"/>
    <n v="1.9794813105657922E-3"/>
  </r>
  <r>
    <x v="69"/>
    <s v=""/>
    <n v="1362922786"/>
    <n v="1502948404"/>
    <n v="1616890832"/>
    <n v="1801029375"/>
    <n v="2339782796"/>
    <n v="5105325595"/>
    <n v="8072834461"/>
    <n v="12330727263"/>
    <n v="19171860743"/>
    <x v="69"/>
    <n v="1.8902817601609639E-3"/>
  </r>
  <r>
    <x v="70"/>
    <n v="4325833823"/>
    <n v="5192492397"/>
    <n v="7727093797"/>
    <n v="14470126387"/>
    <n v="24121403509"/>
    <n v="39809682133"/>
    <n v="59290951423"/>
    <n v="38847994364"/>
    <n v="55492662631"/>
    <n v="46302374380"/>
    <x v="70"/>
    <n v="1.8177668593867637E-3"/>
  </r>
  <r>
    <x v="71"/>
    <s v=""/>
    <n v="3161508780"/>
    <n v="6304055180"/>
    <n v="9046468532"/>
    <n v="13948579465"/>
    <n v="25876336567"/>
    <n v="37131214653"/>
    <n v="21516812449"/>
    <n v="25221355819"/>
    <n v="21046238490"/>
    <x v="71"/>
    <n v="1.7366308332010553E-3"/>
  </r>
  <r>
    <x v="72"/>
    <s v=""/>
    <s v=""/>
    <s v=""/>
    <s v=""/>
    <s v=""/>
    <s v=""/>
    <s v=""/>
    <n v="12089005299"/>
    <n v="21186587454"/>
    <n v="29676991182"/>
    <x v="72"/>
    <n v="1.683973285013388E-3"/>
  </r>
  <r>
    <x v="73"/>
    <n v="1676784032"/>
    <n v="2209406852"/>
    <n v="2702211992"/>
    <n v="3348673621"/>
    <n v="5186759412"/>
    <n v="6584301932"/>
    <n v="11137550606"/>
    <n v="12389444161"/>
    <n v="15352187302"/>
    <n v="19980789226"/>
    <x v="73"/>
    <n v="1.6095477325844866E-3"/>
  </r>
  <r>
    <x v="74"/>
    <n v="6661606298"/>
    <n v="6196014713"/>
    <n v="8415790268"/>
    <n v="8990159582"/>
    <n v="13680482287"/>
    <n v="16270796148"/>
    <n v="17700188023"/>
    <n v="17449190653"/>
    <n v="18190130595"/>
    <n v="19977111084"/>
    <x v="74"/>
    <n v="1.5449446496270571E-3"/>
  </r>
  <r>
    <x v="75"/>
    <n v="15615809785"/>
    <n v="12145717977"/>
    <n v="11489783896"/>
    <n v="13692513734"/>
    <n v="26238840921"/>
    <n v="31608331219"/>
    <n v="30051433629"/>
    <n v="23211820880"/>
    <n v="26841788254"/>
    <n v="26757743322"/>
    <x v="75"/>
    <n v="1.5239414689222324E-3"/>
  </r>
  <r>
    <x v="76"/>
    <n v="1791136113"/>
    <n v="2489109306"/>
    <n v="3850491891"/>
    <n v="4673883517"/>
    <n v="8656802276"/>
    <n v="14105187105"/>
    <n v="19397147564"/>
    <n v="22721915306"/>
    <n v="19075111634"/>
    <n v="19746406898"/>
    <x v="76"/>
    <n v="1.4883929121052505E-3"/>
  </r>
  <r>
    <x v="77"/>
    <n v="1679940943"/>
    <n v="1429846879"/>
    <n v="1467939222"/>
    <n v="2449230101"/>
    <n v="4946040555"/>
    <n v="7725302647"/>
    <n v="12111929205"/>
    <n v="12348996648"/>
    <n v="15056686879"/>
    <n v="19986150537"/>
    <x v="77"/>
    <n v="1.4736721160410597E-3"/>
  </r>
  <r>
    <x v="78"/>
    <n v="14939990114"/>
    <n v="14707267653"/>
    <n v="15320360585"/>
    <n v="15563443998"/>
    <n v="18426839001"/>
    <n v="23615869758"/>
    <n v="24989768760"/>
    <n v="22655596383"/>
    <n v="22710401517"/>
    <n v="22679425950"/>
    <x v="78"/>
    <n v="1.4702982615911781E-3"/>
  </r>
  <r>
    <x v="79"/>
    <n v="5072635002"/>
    <n v="5270423015"/>
    <n v="5412926747"/>
    <n v="7762748872"/>
    <n v="9906646943"/>
    <n v="14301372920"/>
    <n v="12898281109"/>
    <n v="9903136892"/>
    <n v="17081459740"/>
    <n v="19528353117"/>
    <x v="79"/>
    <n v="1.4469324405191476E-3"/>
  </r>
  <r>
    <x v="80"/>
    <n v="15681600366"/>
    <n v="12674032364"/>
    <n v="14496235809"/>
    <n v="14777889879"/>
    <n v="21142453143"/>
    <n v="24474522995"/>
    <n v="31202060585"/>
    <n v="27329305888"/>
    <n v="27487536689"/>
    <n v="27135478532"/>
    <x v="80"/>
    <n v="1.4178330564859369E-3"/>
  </r>
  <r>
    <x v="81"/>
    <n v="2330794415"/>
    <n v="2411576510"/>
    <n v="4879129966"/>
    <n v="5070374105"/>
    <n v="4381793500"/>
    <n v="3067812605"/>
    <n v="3659169050"/>
    <n v="3132961294"/>
    <n v="3653678090"/>
    <n v="7668612507"/>
    <x v="81"/>
    <n v="1.4068739128319195E-3"/>
  </r>
  <r>
    <x v="82"/>
    <n v="6017204115"/>
    <n v="7626771955"/>
    <n v="9589773924"/>
    <n v="10678529407"/>
    <n v="16476871286"/>
    <n v="16840448318"/>
    <n v="17238110359"/>
    <n v="17204893747"/>
    <n v="18544452230"/>
    <n v="20819044813"/>
    <x v="82"/>
    <n v="1.3884488357288997E-3"/>
  </r>
  <r>
    <x v="83"/>
    <n v="1750991500"/>
    <n v="2502525000"/>
    <n v="4184440000"/>
    <n v="5696460000"/>
    <n v="6026888500"/>
    <n v="7775562962"/>
    <n v="9484262733"/>
    <n v="10566748916"/>
    <n v="13192344079"/>
    <n v="16162642468"/>
    <x v="83"/>
    <n v="1.3218966765344716E-3"/>
  </r>
  <r>
    <x v="84"/>
    <n v="4158064142"/>
    <n v="4169907930"/>
    <n v="4148446855"/>
    <n v="4038393730"/>
    <n v="4769046426"/>
    <n v="6166199203"/>
    <n v="8188076311"/>
    <n v="7838868858"/>
    <n v="12602609343"/>
    <n v="17064006923"/>
    <x v="84"/>
    <n v="1.2119897269171577E-3"/>
  </r>
  <r>
    <x v="85"/>
    <s v=""/>
    <n v="75052321"/>
    <n v="283353704"/>
    <n v="323789978"/>
    <n v="486714799"/>
    <n v="1223576036"/>
    <n v="2913947080"/>
    <n v="5265384278"/>
    <n v="9376235753"/>
    <n v="13856439376"/>
    <x v="85"/>
    <n v="1.2018823342148906E-3"/>
  </r>
  <r>
    <x v="86"/>
    <s v=""/>
    <s v=""/>
    <s v=""/>
    <s v=""/>
    <s v=""/>
    <n v="716058463"/>
    <n v="1720522200"/>
    <n v="6390603802"/>
    <n v="12789505764"/>
    <n v="16868193235"/>
    <x v="86"/>
    <n v="1.0606371815754983E-3"/>
  </r>
  <r>
    <x v="87"/>
    <n v="8598128905"/>
    <n v="4108336516"/>
    <n v="4022570618"/>
    <n v="2857576679"/>
    <n v="2729780490"/>
    <n v="2246614375"/>
    <n v="2824507575"/>
    <n v="3486514825"/>
    <n v="10919008362"/>
    <n v="15771866013"/>
    <x v="87"/>
    <n v="1.0202948893094014E-3"/>
  </r>
  <r>
    <x v="88"/>
    <n v="16911067547"/>
    <n v="16795598958"/>
    <n v="14945455623"/>
    <n v="14692138527"/>
    <n v="14409081783"/>
    <n v="14440177019"/>
    <n v="16255817708"/>
    <n v="14438358318"/>
    <n v="14349197623"/>
    <n v="14326806826"/>
    <x v="88"/>
    <n v="1.0173258400017352E-3"/>
  </r>
  <r>
    <x v="89"/>
    <n v="12979069242"/>
    <n v="12178094718"/>
    <n v="13509317179"/>
    <n v="18674008826"/>
    <n v="20511439075"/>
    <n v="20414532006"/>
    <n v="25462583280"/>
    <n v="20886857494"/>
    <n v="22817578808"/>
    <n v="16207625074"/>
    <x v="89"/>
    <n v="9.8892511357322665E-4"/>
  </r>
  <r>
    <x v="90"/>
    <n v="3799419336"/>
    <n v="3978920499"/>
    <n v="4878627473"/>
    <n v="8594797190"/>
    <n v="9836289771"/>
    <n v="11514104091"/>
    <n v="13969989948"/>
    <n v="12440522903"/>
    <n v="14470303881"/>
    <n v="15914158239"/>
    <x v="90"/>
    <n v="9.568969076727636E-4"/>
  </r>
  <r>
    <x v="91"/>
    <n v="2376452871"/>
    <n v="2837121991"/>
    <n v="9856244447"/>
    <n v="9397058663"/>
    <n v="9489073739"/>
    <n v="8785556997"/>
    <n v="9301473879"/>
    <n v="11338807117"/>
    <n v="11874452549"/>
    <n v="12777536898"/>
    <x v="91"/>
    <n v="9.5442187372445498E-4"/>
  </r>
  <r>
    <x v="92"/>
    <n v="777317414"/>
    <n v="1176218139"/>
    <n v="1558905762"/>
    <n v="1515751573"/>
    <n v="1798466818"/>
    <n v="2342909582"/>
    <n v="3921018679"/>
    <n v="5866461244"/>
    <n v="9143026911"/>
    <n v="11544341520"/>
    <x v="92"/>
    <n v="9.3514047301456826E-4"/>
  </r>
  <r>
    <x v="93"/>
    <s v=""/>
    <s v=""/>
    <s v=""/>
    <s v=""/>
    <s v=""/>
    <s v=""/>
    <s v=""/>
    <n v="1743043895"/>
    <n v="2548955032"/>
    <n v="8036265668"/>
    <x v="93"/>
    <n v="9.2333671938908397E-4"/>
  </r>
  <r>
    <x v="94"/>
    <n v="2400907641"/>
    <n v="2715673718"/>
    <n v="5150003289"/>
    <n v="4697310941"/>
    <n v="4470842643"/>
    <n v="4606745636"/>
    <n v="7370971583"/>
    <n v="8729853754"/>
    <n v="9525445745"/>
    <n v="10706184351"/>
    <x v="94"/>
    <n v="9.0116105105734741E-4"/>
  </r>
  <r>
    <x v="95"/>
    <n v="1181109318"/>
    <n v="2017232263"/>
    <n v="2474944663"/>
    <n v="3541930803"/>
    <n v="4260407604"/>
    <n v="4378097507"/>
    <n v="6153256996"/>
    <n v="6406107797"/>
    <n v="6421367707"/>
    <n v="11141279529"/>
    <x v="95"/>
    <n v="8.7673834248966917E-4"/>
  </r>
  <r>
    <x v="96"/>
    <n v="6109550225"/>
    <n v="6206840068"/>
    <n v="6898619693"/>
    <n v="6650153441"/>
    <n v="6923457298"/>
    <n v="7213977900"/>
    <n v="8860699939"/>
    <n v="9136771122"/>
    <n v="10150679387"/>
    <n v="11168270503"/>
    <x v="96"/>
    <n v="8.4077238608539677E-4"/>
  </r>
  <r>
    <x v="97"/>
    <n v="1325050117"/>
    <n v="1410698044"/>
    <n v="2012266284"/>
    <n v="2359961632"/>
    <n v="2758507289"/>
    <n v="4956369224"/>
    <n v="7036169336"/>
    <n v="8195649508"/>
    <n v="12506294059"/>
    <n v="9531512257"/>
    <x v="97"/>
    <n v="8.3448757824227738E-4"/>
  </r>
  <r>
    <x v="98"/>
    <s v=""/>
    <s v=""/>
    <s v=""/>
    <s v=""/>
    <n v="1481298779"/>
    <n v="3711734359"/>
    <n v="5055421258"/>
    <n v="6387735040"/>
    <n v="10725653203"/>
    <n v="11764078056"/>
    <x v="98"/>
    <n v="8.1862851227565425E-4"/>
  </r>
  <r>
    <x v="99"/>
    <n v="775134993"/>
    <n v="836779526"/>
    <n v="1050588729"/>
    <n v="1789127615"/>
    <n v="2819709895"/>
    <n v="3153986293"/>
    <n v="6295479080"/>
    <n v="8218391463"/>
    <n v="9567585582"/>
    <n v="11304976784"/>
    <x v="99"/>
    <n v="8.1153365770974303E-4"/>
  </r>
  <r>
    <x v="100"/>
    <n v="2518386104"/>
    <n v="2602894393"/>
    <n v="3920680716"/>
    <n v="4435756350"/>
    <n v="4609799444"/>
    <n v="4430020540"/>
    <n v="6207764300"/>
    <n v="6292014173"/>
    <n v="7731793297"/>
    <n v="10827852590"/>
    <x v="100"/>
    <n v="8.0170120127945018E-4"/>
  </r>
  <r>
    <x v="101"/>
    <n v="5336132719"/>
    <n v="4782406177"/>
    <n v="5187929115"/>
    <n v="4714721833"/>
    <n v="4849192533"/>
    <n v="4802572570"/>
    <n v="7275429819"/>
    <n v="7620360627"/>
    <n v="10970016081"/>
    <n v="10205569263"/>
    <x v="101"/>
    <n v="7.9008635381578078E-4"/>
  </r>
  <r>
    <x v="102"/>
    <n v="3901448957"/>
    <n v="4456868529"/>
    <n v="5116658805"/>
    <n v="5874690570"/>
    <n v="5969608966"/>
    <n v="4980580117"/>
    <n v="7794557961"/>
    <n v="7158538098"/>
    <n v="7844635604"/>
    <n v="11024924117"/>
    <x v="102"/>
    <n v="7.7616570811492596E-4"/>
  </r>
  <r>
    <x v="103"/>
    <n v="2510243953"/>
    <n v="2337798475"/>
    <n v="6868457939"/>
    <n v="7069991522"/>
    <n v="9337160401"/>
    <n v="13337845263"/>
    <n v="17271262677"/>
    <n v="11407039705"/>
    <n v="9762930125"/>
    <n v="10167948552"/>
    <x v="103"/>
    <n v="7.0657329115591432E-4"/>
  </r>
  <r>
    <x v="104"/>
    <s v=""/>
    <n v="79665817"/>
    <n v="79829143"/>
    <n v="96006997"/>
    <n v="101187796"/>
    <n v="96655277"/>
    <n v="531799971"/>
    <n v="2307346900"/>
    <n v="3743119006"/>
    <n v="6975657204"/>
    <x v="104"/>
    <n v="6.7695944747193113E-4"/>
  </r>
  <r>
    <x v="105"/>
    <n v="20390183603"/>
    <n v="20618709332"/>
    <n v="19162420861"/>
    <n v="15339230525"/>
    <n v="14476811470"/>
    <n v="12441367897"/>
    <n v="17183981754"/>
    <n v="14599636999"/>
    <n v="14903654601"/>
    <n v="8515102413"/>
    <x v="105"/>
    <n v="6.3460252437822536E-4"/>
  </r>
  <r>
    <x v="106"/>
    <n v="2629003106"/>
    <n v="2809138578"/>
    <n v="2935772022"/>
    <n v="3473382494"/>
    <n v="3933346924"/>
    <n v="4978069061"/>
    <n v="5609653169"/>
    <n v="7231169894"/>
    <n v="8878561685"/>
    <n v="10141977272"/>
    <x v="106"/>
    <n v="6.2096193069697474E-4"/>
  </r>
  <r>
    <x v="107"/>
    <n v="1125161603"/>
    <n v="660033405"/>
    <n v="722100110"/>
    <n v="809727231"/>
    <n v="1002918857"/>
    <n v="1141603344"/>
    <n v="1704095825"/>
    <n v="1420143948"/>
    <n v="4395815778"/>
    <n v="7147064424"/>
    <x v="107"/>
    <n v="6.0912612126571154E-4"/>
  </r>
  <r>
    <x v="108"/>
    <s v=""/>
    <s v=""/>
    <n v="966892827"/>
    <n v="1529929328"/>
    <n v="2618916014"/>
    <n v="3663641572"/>
    <n v="5363361127"/>
    <n v="5148033383"/>
    <n v="6368670607"/>
    <n v="7587797169"/>
    <x v="108"/>
    <n v="5.9799060123508761E-4"/>
  </r>
  <r>
    <x v="109"/>
    <s v=""/>
    <s v=""/>
    <s v=""/>
    <s v=""/>
    <s v=""/>
    <s v=""/>
    <s v=""/>
    <n v="1733512283"/>
    <n v="4695460595"/>
    <n v="6642549437"/>
    <x v="109"/>
    <n v="5.9357522560931188E-4"/>
  </r>
  <r>
    <x v="110"/>
    <n v="654740228"/>
    <n v="991321540"/>
    <n v="1023606864"/>
    <n v="1499188260"/>
    <n v="1840845472"/>
    <n v="2439427861"/>
    <n v="1944589490"/>
    <n v="2414975045"/>
    <n v="4512006461"/>
    <n v="6412326258"/>
    <x v="110"/>
    <n v="5.9173510162560824E-4"/>
  </r>
  <r>
    <x v="111"/>
    <n v="521684362"/>
    <n v="847062962"/>
    <n v="1324563651"/>
    <n v="1874130465"/>
    <n v="3678870396"/>
    <n v="3844160591"/>
    <n v="4501502188"/>
    <n v="4737820969"/>
    <n v="6233478208"/>
    <n v="7571356935"/>
    <x v="111"/>
    <n v="5.9079948556743699E-4"/>
  </r>
  <r>
    <x v="112"/>
    <n v="5882868893"/>
    <n v="6440685408"/>
    <n v="7259585592"/>
    <n v="7257607293"/>
    <n v="5202299900"/>
    <n v="5279251902"/>
    <n v="6579147222"/>
    <n v="7455822159"/>
    <n v="7220114319"/>
    <n v="9660565796"/>
    <x v="112"/>
    <n v="5.7956570860471601E-4"/>
  </r>
  <r>
    <x v="113"/>
    <s v=""/>
    <s v=""/>
    <s v=""/>
    <s v=""/>
    <s v=""/>
    <s v=""/>
    <s v=""/>
    <n v="4953663953"/>
    <n v="5571017684"/>
    <n v="6150123222"/>
    <x v="113"/>
    <n v="5.6086892343810513E-4"/>
  </r>
  <r>
    <x v="114"/>
    <n v="5735859616"/>
    <n v="4812587764"/>
    <n v="4060324103"/>
    <n v="2842031633"/>
    <n v="4027011964"/>
    <n v="3729958813"/>
    <n v="4181998173"/>
    <n v="7112575198"/>
    <n v="6531055731"/>
    <n v="8127142544"/>
    <x v="114"/>
    <n v="5.5298605888678661E-4"/>
  </r>
  <r>
    <x v="115"/>
    <n v="225632665"/>
    <n v="259262154"/>
    <n v="357628014"/>
    <n v="1767544702"/>
    <n v="3000284038"/>
    <n v="4257332349"/>
    <n v="5429751138"/>
    <n v="5696749708"/>
    <n v="6979746307"/>
    <n v="8142341741"/>
    <x v="115"/>
    <n v="5.5177128786235304E-4"/>
  </r>
  <r>
    <x v="116"/>
    <n v="325159481"/>
    <n v="441393254"/>
    <n v="509612741"/>
    <n v="609640573"/>
    <n v="784164753"/>
    <n v="1748449989"/>
    <n v="2298398740"/>
    <n v="4241598952"/>
    <n v="5196588292"/>
    <n v="8451500905"/>
    <x v="116"/>
    <n v="5.4001263213295425E-4"/>
  </r>
  <r>
    <x v="117"/>
    <n v="12043382493"/>
    <n v="12376660283"/>
    <n v="17710376138"/>
    <n v="19741413241"/>
    <n v="30371229479"/>
    <n v="35457316693"/>
    <n v="33379618945"/>
    <n v="27674057921"/>
    <n v="25548699911"/>
    <n v="21138194522"/>
    <x v="117"/>
    <n v="5.3934480922583584E-4"/>
  </r>
  <r>
    <x v="118"/>
    <n v="9582190603"/>
    <n v="7131134242"/>
    <n v="6627119050"/>
    <n v="5545044503"/>
    <n v="6297488544"/>
    <n v="6951442808"/>
    <n v="6575161133"/>
    <n v="6197795823"/>
    <n v="6926816205"/>
    <n v="9459952380"/>
    <x v="118"/>
    <n v="5.2824756645123067E-4"/>
  </r>
  <r>
    <x v="119"/>
    <s v=""/>
    <s v=""/>
    <s v=""/>
    <s v=""/>
    <s v=""/>
    <n v="6817275264"/>
    <n v="8191809623"/>
    <n v="6681744010"/>
    <n v="7494161627"/>
    <n v="7610866491"/>
    <x v="119"/>
    <n v="5.1382504043429088E-4"/>
  </r>
  <r>
    <x v="120"/>
    <n v="2335571010"/>
    <n v="2097269459"/>
    <n v="2609107496"/>
    <n v="2369130075"/>
    <n v="2340097752"/>
    <n v="2413158362"/>
    <n v="4229429232"/>
    <n v="5012732756"/>
    <n v="5304780629"/>
    <n v="6141692809"/>
    <x v="120"/>
    <n v="4.9617919411854353E-4"/>
  </r>
  <r>
    <x v="121"/>
    <n v="5106682950"/>
    <n v="5553726330"/>
    <n v="6915535653"/>
    <n v="6837303964"/>
    <n v="5153176633"/>
    <n v="5636018726"/>
    <n v="6088395847"/>
    <n v="6229075314"/>
    <n v="6629721911"/>
    <n v="6587416763"/>
    <x v="121"/>
    <n v="4.8858276925133222E-4"/>
  </r>
  <r>
    <x v="122"/>
    <s v=""/>
    <s v=""/>
    <s v=""/>
    <s v=""/>
    <s v=""/>
    <n v="455914054"/>
    <n v="609931876"/>
    <n v="1899821705"/>
    <n v="3132271622"/>
    <n v="6355407458"/>
    <x v="122"/>
    <n v="4.8145699077359073E-4"/>
  </r>
  <r>
    <x v="123"/>
    <n v="3278604509"/>
    <n v="3559008780"/>
    <n v="4086523165"/>
    <n v="3616350546"/>
    <n v="4001666340"/>
    <n v="4225446225"/>
    <n v="5091723047"/>
    <n v="5110933393"/>
    <n v="6210591584"/>
    <n v="6840285642"/>
    <x v="123"/>
    <n v="4.792271538398111E-4"/>
  </r>
  <r>
    <x v="124"/>
    <n v="1348841225"/>
    <n v="2145620336"/>
    <n v="2776823458"/>
    <n v="3312683146"/>
    <n v="3747966493"/>
    <n v="4190720491"/>
    <n v="5540968481"/>
    <n v="6104134500"/>
    <n v="6710452298"/>
    <n v="7027580183"/>
    <x v="124"/>
    <n v="4.7853914471410549E-4"/>
  </r>
  <r>
    <x v="125"/>
    <n v="1677441550"/>
    <n v="1833414810"/>
    <n v="1955701628"/>
    <n v="1616369172"/>
    <n v="2644124702"/>
    <n v="3739754469"/>
    <n v="4945550126"/>
    <n v="4473034263"/>
    <n v="6068768387"/>
    <n v="6860653168"/>
    <x v="125"/>
    <n v="4.7698265624137676E-4"/>
  </r>
  <r>
    <x v="126"/>
    <n v="348660584"/>
    <n v="351388029"/>
    <n v="406455801"/>
    <n v="581630915"/>
    <n v="2100331145"/>
    <n v="6639492429"/>
    <n v="9446637153"/>
    <n v="12516214616"/>
    <n v="16519409632"/>
    <n v="8963131138"/>
    <x v="126"/>
    <n v="4.724433011448331E-4"/>
  </r>
  <r>
    <x v="127"/>
    <n v="18022664996"/>
    <n v="19815171828"/>
    <n v="25446481270"/>
    <n v="23826894067"/>
    <n v="34067149406"/>
    <n v="34235430653"/>
    <n v="34374199773"/>
    <n v="8004146746"/>
    <n v="8132439376"/>
    <n v="7991126505"/>
    <x v="127"/>
    <n v="4.6580036672804294E-4"/>
  </r>
  <r>
    <x v="128"/>
    <n v="2966051595"/>
    <n v="3667258109"/>
    <n v="3658059391"/>
    <n v="3683615446"/>
    <n v="1504557064"/>
    <n v="2454648843"/>
    <n v="6040187478"/>
    <n v="6231649480"/>
    <n v="6356538544"/>
    <n v="6746970793"/>
    <x v="128"/>
    <n v="4.6300109043169771E-4"/>
  </r>
  <r>
    <x v="129"/>
    <n v="931783073"/>
    <n v="1204276062"/>
    <n v="1594473471"/>
    <n v="2207583002"/>
    <n v="3457122544"/>
    <n v="4045730021"/>
    <n v="5027334251"/>
    <n v="5282527782"/>
    <n v="5743620605"/>
    <n v="6137039228"/>
    <x v="129"/>
    <n v="4.5748254299692498E-4"/>
  </r>
  <r>
    <x v="130"/>
    <s v=""/>
    <s v=""/>
    <s v=""/>
    <s v=""/>
    <n v="3463485745"/>
    <n v="3962786086"/>
    <n v="5236021315"/>
    <n v="4747222381"/>
    <n v="5166792465"/>
    <n v="7827735503"/>
    <x v="130"/>
    <n v="4.3978407349728522E-4"/>
  </r>
  <r>
    <x v="131"/>
    <n v="2268455985"/>
    <n v="2261279105"/>
    <n v="2660314014"/>
    <n v="2441846432"/>
    <n v="3107653808"/>
    <n v="3666833859"/>
    <n v="4439984408"/>
    <n v="4543345895"/>
    <n v="4920705049"/>
    <n v="5385310156"/>
    <x v="131"/>
    <n v="4.3725725902103068E-4"/>
  </r>
  <r>
    <x v="132"/>
    <n v="4553816077"/>
    <n v="4573404553"/>
    <n v="4813871827"/>
    <n v="4488795144"/>
    <n v="4026289416"/>
    <n v="3337938440"/>
    <n v="4354251902"/>
    <n v="3958021467"/>
    <n v="4616955091"/>
    <n v="5649426836"/>
    <x v="132"/>
    <n v="4.3175109108606997E-4"/>
  </r>
  <r>
    <x v="133"/>
    <n v="94169318"/>
    <n v="71564080"/>
    <n v="55371729"/>
    <n v="44348320"/>
    <n v="3522167701"/>
    <n v="4289465681"/>
    <n v="5018980640"/>
    <n v="5330982263"/>
    <n v="6078138746"/>
    <n v="5939090494"/>
    <x v="133"/>
    <n v="4.3055354747745857E-4"/>
  </r>
  <r>
    <x v="134"/>
    <n v="8674574756"/>
    <n v="8598075339"/>
    <n v="10137380998"/>
    <n v="10643573902"/>
    <n v="11957464272"/>
    <n v="14158713372"/>
    <n v="13936639511"/>
    <n v="10507868525"/>
    <n v="10494199495"/>
    <n v="8545257276"/>
    <x v="134"/>
    <n v="4.2933116043993269E-4"/>
  </r>
  <r>
    <x v="135"/>
    <n v="7773797309"/>
    <n v="6376154750"/>
    <n v="7246647748"/>
    <n v="7119346772"/>
    <n v="7871913935"/>
    <n v="5366121684"/>
    <n v="6514326322"/>
    <n v="5204262850"/>
    <n v="5999035880"/>
    <n v="6350829261"/>
    <x v="135"/>
    <n v="3.9627331749451526E-4"/>
  </r>
  <r>
    <x v="136"/>
    <n v="3409459399"/>
    <n v="820345717"/>
    <n v="1026009645"/>
    <n v="1441126411"/>
    <n v="2018102117"/>
    <n v="1370837110"/>
    <n v="1937394229"/>
    <n v="1337350565"/>
    <n v="1867129883"/>
    <n v="5684943745"/>
    <x v="136"/>
    <n v="3.930414211063656E-4"/>
  </r>
  <r>
    <x v="137"/>
    <n v="1714422173"/>
    <n v="2631917460"/>
    <n v="2717881481"/>
    <n v="2577084828"/>
    <n v="2607337191"/>
    <n v="2665970332"/>
    <n v="2462521004"/>
    <n v="3717516693"/>
    <n v="7797368048"/>
    <n v="6050025652"/>
    <x v="137"/>
    <n v="3.8916236274769416E-4"/>
  </r>
  <r>
    <x v="138"/>
    <n v="2539151612"/>
    <n v="2401264978"/>
    <n v="3483496154"/>
    <n v="3194085466"/>
    <n v="4064245710"/>
    <n v="4159385167"/>
    <n v="4810622099"/>
    <n v="4673585941"/>
    <n v="4883046191"/>
    <n v="5666187137"/>
    <x v="138"/>
    <n v="3.8662948459882991E-4"/>
  </r>
  <r>
    <x v="139"/>
    <n v="61881278101"/>
    <n v="46680985250"/>
    <n v="34686915711"/>
    <n v="19891823766"/>
    <n v="16262148785"/>
    <n v="15651280548"/>
    <n v="15262832661"/>
    <n v="7682929600"/>
    <n v="8030260351"/>
    <n v="7462419868"/>
    <x v="139"/>
    <n v="3.8483822804922949E-4"/>
  </r>
  <r>
    <x v="140"/>
    <s v=""/>
    <s v=""/>
    <s v=""/>
    <s v=""/>
    <n v="1152081642"/>
    <n v="3547473576"/>
    <n v="4687935218"/>
    <n v="4097015745"/>
    <n v="4636920141"/>
    <n v="5523682555"/>
    <x v="140"/>
    <n v="3.8258420032935824E-4"/>
  </r>
  <r>
    <x v="141"/>
    <n v="10129408350"/>
    <n v="8585165000"/>
    <n v="7984502169"/>
    <n v="6697407297"/>
    <n v="6789048484"/>
    <n v="6398928127"/>
    <n v="6477868436"/>
    <n v="6461282463"/>
    <n v="6387147167"/>
    <n v="5692311745"/>
    <x v="141"/>
    <n v="3.8163323035454288E-4"/>
  </r>
  <r>
    <x v="142"/>
    <n v="2358622143"/>
    <n v="1717877248"/>
    <n v="2199135032"/>
    <n v="2522158376"/>
    <n v="2893777554"/>
    <n v="2863665159"/>
    <n v="3147712386"/>
    <n v="3563927176"/>
    <n v="4431071861"/>
    <n v="4983750532"/>
    <x v="142"/>
    <n v="3.7784687491613925E-4"/>
  </r>
  <r>
    <x v="143"/>
    <n v="3475049724"/>
    <n v="3122661639"/>
    <n v="2908767434"/>
    <n v="2302705500"/>
    <n v="2330360753"/>
    <n v="2085400315"/>
    <n v="2579509811"/>
    <n v="2931455327"/>
    <n v="3501989787"/>
    <n v="4543767714"/>
    <x v="143"/>
    <n v="3.755136590066379E-4"/>
  </r>
  <r>
    <x v="144"/>
    <n v="1606126491"/>
    <n v="1535863537"/>
    <n v="1903750289"/>
    <n v="2440370026"/>
    <n v="3399834047"/>
    <n v="3571512968"/>
    <n v="4836990921"/>
    <n v="3872657383"/>
    <n v="4961577739"/>
    <n v="5893401565"/>
    <x v="144"/>
    <n v="3.6563294528709953E-4"/>
  </r>
  <r>
    <x v="145"/>
    <n v="844120998"/>
    <n v="765806958"/>
    <n v="818658059"/>
    <n v="1519369336"/>
    <n v="1804960551"/>
    <n v="3054154032"/>
    <n v="3738892766"/>
    <n v="3351884345"/>
    <n v="3941238597"/>
    <n v="4445607974"/>
    <x v="145"/>
    <n v="3.6525056805242651E-4"/>
  </r>
  <r>
    <x v="146"/>
    <n v="557477106"/>
    <n v="1210474375"/>
    <n v="1843029511"/>
    <n v="2206156190"/>
    <n v="2601489741"/>
    <n v="2686421770"/>
    <n v="3906074264"/>
    <n v="3965836429"/>
    <n v="4013575937"/>
    <n v="4101809835"/>
    <x v="146"/>
    <n v="3.6312124673888502E-4"/>
  </r>
  <r>
    <x v="147"/>
    <n v="695644374"/>
    <n v="891520795"/>
    <n v="918146799"/>
    <n v="859314784"/>
    <n v="1381384361"/>
    <n v="4892685823"/>
    <n v="7797382304"/>
    <n v="7315548436"/>
    <n v="8552504216"/>
    <n v="9088858827"/>
    <x v="147"/>
    <n v="3.618488579808293E-4"/>
  </r>
  <r>
    <x v="148"/>
    <n v="1323066684"/>
    <n v="1682732214"/>
    <n v="1832305388"/>
    <n v="2150501324"/>
    <n v="2229138329"/>
    <n v="2499312681"/>
    <n v="2948063031"/>
    <n v="2986262099"/>
    <n v="3333560544"/>
    <n v="4653015998"/>
    <x v="148"/>
    <n v="3.6108783294401395E-4"/>
  </r>
  <r>
    <x v="149"/>
    <n v="1216342079"/>
    <n v="1482375668"/>
    <n v="1742978831"/>
    <n v="2289928062"/>
    <n v="2738511126"/>
    <n v="3906537308"/>
    <n v="4756344133"/>
    <n v="4703566042"/>
    <n v="4875736388"/>
    <n v="5241595957"/>
    <x v="149"/>
    <n v="3.481236394554628E-4"/>
  </r>
  <r>
    <x v="150"/>
    <s v=""/>
    <s v=""/>
    <s v=""/>
    <s v=""/>
    <s v=""/>
    <n v="1160841274"/>
    <n v="1967254858"/>
    <n v="2239888151"/>
    <n v="2852323349"/>
    <n v="3834845604"/>
    <x v="150"/>
    <n v="3.4667006178828107E-4"/>
  </r>
  <r>
    <x v="151"/>
    <n v="727687878"/>
    <n v="1085760778"/>
    <n v="1726989272"/>
    <n v="1278657421"/>
    <n v="1155468088"/>
    <n v="1544293843"/>
    <n v="2433056934"/>
    <n v="3460670527"/>
    <n v="4386690823"/>
    <n v="7282923493"/>
    <x v="151"/>
    <n v="3.4352264442900725E-4"/>
  </r>
  <r>
    <x v="152"/>
    <s v=""/>
    <n v="5038594"/>
    <n v="1719035155"/>
    <n v="2129368555"/>
    <n v="2587713707"/>
    <n v="2892324407"/>
    <n v="3642072390"/>
    <n v="3550428336"/>
    <n v="4250290468"/>
    <n v="4740140998"/>
    <x v="152"/>
    <n v="3.3594997724640402E-4"/>
  </r>
  <r>
    <x v="153"/>
    <n v="2508593172"/>
    <n v="2566645412"/>
    <n v="2775517621"/>
    <n v="6535282815"/>
    <n v="6681766194"/>
    <n v="7136424742"/>
    <n v="8427744316"/>
    <n v="6684127448"/>
    <n v="6612065507"/>
    <n v="6023960177"/>
    <x v="153"/>
    <n v="3.3062173645453366E-4"/>
  </r>
  <r>
    <x v="154"/>
    <n v="1496437205"/>
    <n v="2107375055"/>
    <n v="2484045269"/>
    <n v="2267462742"/>
    <n v="3050319306"/>
    <n v="3599145352"/>
    <n v="3028934367"/>
    <n v="3525248684"/>
    <n v="5030126318"/>
    <n v="5369419817"/>
    <x v="154"/>
    <n v="3.2931291692981957E-4"/>
  </r>
  <r>
    <x v="155"/>
    <n v="247854726"/>
    <n v="296801798"/>
    <n v="323751539"/>
    <n v="1161017376"/>
    <n v="1719600287"/>
    <n v="2158534728"/>
    <n v="2578886322"/>
    <n v="2666897405"/>
    <n v="2927407355"/>
    <n v="4610974129"/>
    <x v="155"/>
    <n v="3.2708114435539294E-4"/>
  </r>
  <r>
    <x v="156"/>
    <n v="3057201659"/>
    <n v="3134417626"/>
    <n v="3309161421"/>
    <n v="2687518030"/>
    <n v="2752679525"/>
    <n v="2993522313"/>
    <n v="3798624472"/>
    <n v="3069261666"/>
    <n v="5763692832"/>
    <n v="5224418111"/>
    <x v="156"/>
    <n v="3.2639454402148788E-4"/>
  </r>
  <r>
    <x v="157"/>
    <n v="2296104701"/>
    <n v="2556222815"/>
    <n v="2894185028"/>
    <n v="2968486846"/>
    <n v="3211766682"/>
    <n v="2967711852"/>
    <n v="3429451726"/>
    <n v="3382728975"/>
    <n v="3761060390"/>
    <n v="4135126414"/>
    <x v="157"/>
    <n v="3.1627325889185386E-4"/>
  </r>
  <r>
    <x v="158"/>
    <s v=""/>
    <n v="823433773"/>
    <n v="1042415614"/>
    <n v="1185844764"/>
    <n v="1401565813"/>
    <n v="2553624454"/>
    <n v="3159130762"/>
    <n v="3225256581"/>
    <n v="3618867970"/>
    <n v="4136165017"/>
    <x v="158"/>
    <n v="3.1257673048920478E-4"/>
  </r>
  <r>
    <x v="159"/>
    <s v=""/>
    <s v=""/>
    <s v=""/>
    <s v=""/>
    <n v="385009117"/>
    <n v="410323237"/>
    <n v="1038826520"/>
    <n v="1131940028"/>
    <n v="3277978684"/>
    <n v="3946069065"/>
    <x v="159"/>
    <n v="3.0522552788346172E-4"/>
  </r>
  <r>
    <x v="160"/>
    <s v=""/>
    <s v=""/>
    <n v="23014496"/>
    <n v="496243755"/>
    <n v="1060909709"/>
    <n v="1738647277"/>
    <n v="2425871157"/>
    <n v="2569278128"/>
    <n v="3116031257"/>
    <n v="3854842294"/>
    <x v="160"/>
    <n v="2.9721200765142955E-4"/>
  </r>
  <r>
    <x v="161"/>
    <s v=""/>
    <n v="1416526172"/>
    <n v="1536103413"/>
    <n v="1478018223"/>
    <n v="1604669813"/>
    <n v="1827978931"/>
    <n v="2474404477"/>
    <n v="2926746491"/>
    <n v="3327784783"/>
    <n v="3949461440"/>
    <x v="161"/>
    <n v="2.9710475934617222E-4"/>
  </r>
  <r>
    <x v="162"/>
    <n v="5435437577"/>
    <n v="6246620866"/>
    <n v="6697026607"/>
    <n v="6684107576"/>
    <n v="6456698468"/>
    <n v="5286805598"/>
    <n v="6226457045"/>
    <n v="5725399178"/>
    <n v="4932151175"/>
    <n v="4967247178"/>
    <x v="162"/>
    <n v="2.9645529436370577E-4"/>
  </r>
  <r>
    <x v="163"/>
    <n v="5276467163"/>
    <n v="4624785704"/>
    <n v="6848614586"/>
    <n v="7420111667"/>
    <n v="6233017427"/>
    <n v="6181735451"/>
    <n v="4717530645"/>
    <n v="7888428128"/>
    <n v="8356984899"/>
    <n v="8320133338"/>
    <x v="163"/>
    <n v="2.9116119977381393E-4"/>
  </r>
  <r>
    <x v="164"/>
    <n v="715466366"/>
    <n v="803554051"/>
    <n v="895847769"/>
    <n v="1494341153"/>
    <n v="1763945014"/>
    <n v="1560054070"/>
    <n v="2144965655"/>
    <n v="2695974849"/>
    <n v="3142340747"/>
    <n v="3530004068"/>
    <x v="164"/>
    <n v="2.8418497900131013E-4"/>
  </r>
  <r>
    <x v="165"/>
    <n v="2125065866"/>
    <n v="2299993444"/>
    <n v="2422311335"/>
    <n v="2371891767"/>
    <n v="2619278167"/>
    <n v="2849309835"/>
    <n v="4064503972"/>
    <n v="3521391180"/>
    <n v="4656061902"/>
    <n v="4103079691"/>
    <x v="165"/>
    <n v="2.8000224428759678E-4"/>
  </r>
  <r>
    <x v="166"/>
    <n v="2256747879"/>
    <n v="2035031358"/>
    <n v="1817830049"/>
    <n v="1755293620"/>
    <n v="2331119139"/>
    <n v="2132360201"/>
    <n v="3292171632"/>
    <n v="3493474871"/>
    <n v="3771170837"/>
    <n v="4189564985"/>
    <x v="166"/>
    <n v="2.7940958693309907E-4"/>
  </r>
  <r>
    <x v="167"/>
    <n v="70845912462"/>
    <n v="59827228108"/>
    <n v="54107015754"/>
    <n v="43845668997"/>
    <n v="21907158579"/>
    <n v="13713471694"/>
    <n v="11129225073"/>
    <n v="4019670930"/>
    <n v="4369552864"/>
    <n v="4828341997"/>
    <x v="167"/>
    <n v="2.7218481980274269E-4"/>
  </r>
  <r>
    <x v="168"/>
    <s v=""/>
    <s v=""/>
    <s v=""/>
    <n v="547631728"/>
    <n v="772341537"/>
    <n v="2053570616"/>
    <n v="3491728984"/>
    <n v="3302854091"/>
    <n v="3852979173"/>
    <n v="4639531429"/>
    <x v="168"/>
    <n v="2.6386886100825E-4"/>
  </r>
  <r>
    <x v="169"/>
    <n v="738139675"/>
    <n v="965511360"/>
    <n v="1102298332"/>
    <n v="1144145174"/>
    <n v="2033426149"/>
    <n v="2395042230"/>
    <n v="2803734334"/>
    <n v="2669898527"/>
    <n v="2989072194"/>
    <n v="3379269254"/>
    <x v="169"/>
    <n v="2.6106977384358909E-4"/>
  </r>
  <r>
    <x v="170"/>
    <s v=""/>
    <s v=""/>
    <s v=""/>
    <s v=""/>
    <s v=""/>
    <s v=""/>
    <s v=""/>
    <s v=""/>
    <s v=""/>
    <n v="2588253349"/>
    <x v="170"/>
    <n v="2.5021535713778411E-4"/>
  </r>
  <r>
    <x v="171"/>
    <n v="448857425"/>
    <n v="270571753"/>
    <n v="576253320"/>
    <n v="552105010"/>
    <n v="326069371"/>
    <n v="1235802110"/>
    <n v="2143835316"/>
    <n v="2113051525"/>
    <n v="2382037896"/>
    <n v="2901631634"/>
    <x v="171"/>
    <n v="2.4766342378284179E-4"/>
  </r>
  <r>
    <x v="172"/>
    <s v=""/>
    <s v=""/>
    <s v=""/>
    <s v=""/>
    <s v=""/>
    <n v="339645159"/>
    <n v="356173647"/>
    <n v="252432934"/>
    <n v="222341520"/>
    <n v="209891092"/>
    <x v="172"/>
    <n v="2.4762726091076293E-4"/>
  </r>
  <r>
    <x v="173"/>
    <s v=""/>
    <s v=""/>
    <s v=""/>
    <s v=""/>
    <s v=""/>
    <s v=""/>
    <n v="219297440"/>
    <n v="979270968"/>
    <n v="1318724989"/>
    <n v="2422793592"/>
    <x v="173"/>
    <n v="2.4623533053980698E-4"/>
  </r>
  <r>
    <x v="174"/>
    <n v="688641293"/>
    <n v="1361085054"/>
    <n v="1433056978"/>
    <n v="1226822328"/>
    <n v="1710826540"/>
    <n v="1935609392"/>
    <n v="2423565672"/>
    <n v="2518068638"/>
    <n v="3164666345"/>
    <n v="3640595086"/>
    <x v="174"/>
    <n v="2.4505402574991146E-4"/>
  </r>
  <r>
    <x v="175"/>
    <n v="1033909929"/>
    <n v="1126334133"/>
    <n v="1390536218"/>
    <n v="1339115415"/>
    <n v="1457633856"/>
    <n v="1711854537"/>
    <n v="2012979765"/>
    <n v="2270886428"/>
    <n v="2358695995"/>
    <n v="2945075815"/>
    <x v="175"/>
    <n v="2.4363230298331395E-4"/>
  </r>
  <r>
    <x v="176"/>
    <n v="943830"/>
    <n v="24247616"/>
    <n v="71866061"/>
    <n v="255002651"/>
    <n v="2768362733"/>
    <n v="2939134913"/>
    <n v="3473516500"/>
    <n v="3831631634"/>
    <n v="4103484739"/>
    <n v="4333488017"/>
    <x v="176"/>
    <n v="2.414237195022032E-4"/>
  </r>
  <r>
    <x v="177"/>
    <n v="704078157"/>
    <n v="793966509"/>
    <n v="1144822165"/>
    <n v="730897272"/>
    <n v="531517589"/>
    <n v="613047002"/>
    <n v="915376967"/>
    <n v="1230146874"/>
    <n v="2131637267"/>
    <n v="2963465931"/>
    <x v="177"/>
    <n v="2.4045080754472555E-4"/>
  </r>
  <r>
    <x v="178"/>
    <n v="1694696924"/>
    <n v="1649955004"/>
    <n v="1564317615"/>
    <n v="1497202217"/>
    <n v="1411165851"/>
    <n v="1504436115"/>
    <n v="3050656473"/>
    <n v="2770606937"/>
    <n v="2902611512"/>
    <n v="3263235199"/>
    <x v="178"/>
    <n v="2.3665685794033173E-4"/>
  </r>
  <r>
    <x v="179"/>
    <n v="12009805264"/>
    <n v="9908686417"/>
    <n v="7103455353"/>
    <n v="6319765329"/>
    <n v="3991734761"/>
    <n v="4480837029"/>
    <n v="3611149770"/>
    <n v="3465222969"/>
    <n v="4040693750"/>
    <n v="4379204376"/>
    <x v="179"/>
    <n v="2.3080587480170533E-4"/>
  </r>
  <r>
    <x v="180"/>
    <s v=""/>
    <s v=""/>
    <s v=""/>
    <n v="875100871"/>
    <n v="1522998330"/>
    <n v="1640045196"/>
    <n v="2149231957"/>
    <n v="2252568535"/>
    <n v="2532840189"/>
    <n v="3001364257"/>
    <x v="180"/>
    <n v="2.3051518859501285E-4"/>
  </r>
  <r>
    <x v="181"/>
    <n v="1701525630"/>
    <n v="1679232779"/>
    <n v="1783249564"/>
    <n v="1908149387"/>
    <n v="2548419502"/>
    <n v="2888159102"/>
    <n v="3496319340"/>
    <n v="3002473105"/>
    <n v="3290568916"/>
    <n v="3490605975"/>
    <x v="181"/>
    <n v="2.25338650427895E-4"/>
  </r>
  <r>
    <x v="182"/>
    <n v="1251276919"/>
    <n v="646472510"/>
    <n v="630141851"/>
    <n v="658897473"/>
    <n v="485542959"/>
    <n v="677179973"/>
    <n v="1373153169"/>
    <n v="2299920272"/>
    <n v="2763656997"/>
    <n v="2504342069"/>
    <x v="182"/>
    <n v="2.1849579758771273E-4"/>
  </r>
  <r>
    <x v="183"/>
    <n v="1375078655"/>
    <n v="1452024527"/>
    <n v="1563453567"/>
    <n v="1510120090"/>
    <n v="1650859024"/>
    <n v="1686642223"/>
    <n v="2296555974"/>
    <n v="2405326290"/>
    <n v="2577822379"/>
    <n v="2900380003"/>
    <x v="183"/>
    <n v="2.1519542136384028E-4"/>
  </r>
  <r>
    <x v="184"/>
    <s v=""/>
    <s v=""/>
    <n v="1956204808"/>
    <n v="1880527795"/>
    <n v="1949198879"/>
    <n v="1880479837"/>
    <n v="2172277485"/>
    <n v="2516905450"/>
    <n v="2746241596"/>
    <n v="2874205224"/>
    <x v="184"/>
    <n v="2.1276051506442759E-4"/>
  </r>
  <r>
    <x v="185"/>
    <n v="1000679280"/>
    <n v="888158928"/>
    <n v="1149353907"/>
    <n v="1180322935"/>
    <n v="1348266694"/>
    <n v="1394120470"/>
    <n v="1497260171"/>
    <n v="1670044553"/>
    <n v="2196123209"/>
    <n v="2890475603"/>
    <x v="185"/>
    <n v="2.0957122927665048E-4"/>
  </r>
  <r>
    <x v="186"/>
    <n v="486958407"/>
    <n v="203384243"/>
    <n v="221280406"/>
    <n v="222799600"/>
    <n v="467064201"/>
    <n v="692023187"/>
    <n v="895943991"/>
    <n v="1420846001"/>
    <n v="1979618632"/>
    <n v="2577283027"/>
    <x v="186"/>
    <n v="2.0775675907935433E-4"/>
  </r>
  <r>
    <x v="187"/>
    <n v="2871852880"/>
    <n v="2823176437"/>
    <n v="2856222925"/>
    <n v="2572110368"/>
    <n v="2868861737"/>
    <n v="3209991274"/>
    <n v="3838018439"/>
    <n v="3202193153"/>
    <n v="3573660809"/>
    <n v="3621738269"/>
    <x v="187"/>
    <n v="2.0709920323986643E-4"/>
  </r>
  <r>
    <x v="188"/>
    <n v="1331100199"/>
    <n v="1330866427"/>
    <n v="1432600137"/>
    <n v="1499746557"/>
    <n v="1992093034"/>
    <n v="2112201215"/>
    <n v="2874687531"/>
    <n v="2766862694"/>
    <n v="2957076425"/>
    <n v="3240189810"/>
    <x v="188"/>
    <n v="2.0643935112514829E-4"/>
  </r>
  <r>
    <x v="189"/>
    <s v=""/>
    <s v=""/>
    <s v=""/>
    <s v=""/>
    <n v="1903553556"/>
    <n v="2020311955"/>
    <n v="2334110084"/>
    <n v="2238817157"/>
    <n v="2527256726"/>
    <n v="2810830645"/>
    <x v="189"/>
    <n v="2.0231171650264893E-4"/>
  </r>
  <r>
    <x v="190"/>
    <s v=""/>
    <n v="1079012171"/>
    <n v="1309252085"/>
    <n v="1374602046"/>
    <n v="1572206203"/>
    <n v="1612936558"/>
    <n v="1907532248"/>
    <n v="1981930182"/>
    <n v="2276690440"/>
    <n v="2497598524"/>
    <x v="190"/>
    <n v="2.0160882943750751E-4"/>
  </r>
  <r>
    <x v="191"/>
    <s v=""/>
    <s v=""/>
    <s v=""/>
    <s v=""/>
    <s v=""/>
    <s v=""/>
    <n v="1143346549"/>
    <n v="1538219805"/>
    <n v="1941001984"/>
    <n v="2720209642"/>
    <x v="191"/>
    <n v="1.9972394313424208E-4"/>
  </r>
  <r>
    <x v="192"/>
    <n v="1374930461"/>
    <n v="1444446368"/>
    <n v="1500854016"/>
    <n v="1493462372"/>
    <n v="1591257349"/>
    <n v="1835866636"/>
    <n v="2259570826"/>
    <n v="1956834635"/>
    <n v="2636221454"/>
    <n v="2939654654"/>
    <x v="192"/>
    <n v="1.9961909423261011E-4"/>
  </r>
  <r>
    <x v="193"/>
    <n v="1033987"/>
    <n v="1101694"/>
    <n v="153233735"/>
    <n v="918547192"/>
    <n v="2141945373"/>
    <n v="1908661353"/>
    <n v="1893529698"/>
    <n v="1994985246"/>
    <n v="2067386455"/>
    <n v="2850083353"/>
    <x v="193"/>
    <n v="1.9933436510733508E-4"/>
  </r>
  <r>
    <x v="194"/>
    <n v="1173527633"/>
    <n v="1350528714"/>
    <n v="1464006303"/>
    <n v="1538179208"/>
    <n v="1757268810"/>
    <n v="1936878146"/>
    <n v="2282896060"/>
    <n v="2262146340"/>
    <n v="2633554185"/>
    <n v="2909275751"/>
    <x v="194"/>
    <n v="1.9658653659560961E-4"/>
  </r>
  <r>
    <x v="195"/>
    <n v="634393867"/>
    <n v="606086831"/>
    <n v="796190602"/>
    <n v="796110388"/>
    <n v="927592818"/>
    <n v="1043914818"/>
    <n v="2312283559"/>
    <n v="2213551811"/>
    <n v="2522722260"/>
    <n v="2807816265"/>
    <x v="195"/>
    <n v="1.9477133612587444E-4"/>
  </r>
  <r>
    <x v="196"/>
    <s v=""/>
    <s v=""/>
    <s v=""/>
    <s v=""/>
    <s v=""/>
    <n v="1343559705"/>
    <n v="2008933062"/>
    <n v="1920485022"/>
    <n v="2526781734"/>
    <n v="2923397235"/>
    <x v="196"/>
    <n v="1.92225840551554E-4"/>
  </r>
  <r>
    <x v="197"/>
    <s v=""/>
    <s v=""/>
    <s v=""/>
    <s v=""/>
    <n v="794513492"/>
    <n v="919661934"/>
    <n v="1644201696"/>
    <n v="1761868241"/>
    <n v="2037723700"/>
    <n v="2578147143"/>
    <x v="197"/>
    <n v="1.9081643822833707E-4"/>
  </r>
  <r>
    <x v="198"/>
    <n v="6921214945"/>
    <n v="8790220077"/>
    <n v="8390978374"/>
    <n v="5969634225"/>
    <n v="6249951163"/>
    <n v="8964841649"/>
    <n v="9026989905"/>
    <n v="8566775958"/>
    <n v="8727895689"/>
    <n v="7172002095"/>
    <x v="198"/>
    <n v="1.8920915870620814E-4"/>
  </r>
  <r>
    <x v="199"/>
    <s v=""/>
    <s v=""/>
    <n v="547228799"/>
    <n v="1398975282"/>
    <n v="1721317875"/>
    <n v="2598678370"/>
    <n v="3317153027"/>
    <n v="3620324302"/>
    <n v="4103943929"/>
    <n v="3434965746"/>
    <x v="199"/>
    <n v="1.8745278876757692E-4"/>
  </r>
  <r>
    <x v="200"/>
    <n v="12132691"/>
    <n v="52560608"/>
    <n v="63611989"/>
    <n v="139077554"/>
    <n v="454685304"/>
    <n v="587648139"/>
    <n v="1212843679"/>
    <n v="1155668835"/>
    <n v="1520119618"/>
    <n v="2706874231"/>
    <x v="200"/>
    <n v="1.8698519732071305E-4"/>
  </r>
  <r>
    <x v="201"/>
    <n v="5493024214"/>
    <n v="4179869606"/>
    <n v="4500497028"/>
    <n v="3666678383"/>
    <n v="4124260543"/>
    <n v="3749785183"/>
    <n v="5074532544"/>
    <n v="3514057873"/>
    <n v="3434683874"/>
    <n v="3034408125"/>
    <x v="201"/>
    <n v="1.8580877702655769E-4"/>
  </r>
  <r>
    <x v="202"/>
    <n v="482072225"/>
    <n v="750817683"/>
    <n v="1141610384"/>
    <n v="1524198061"/>
    <n v="1884908888"/>
    <n v="2318596168"/>
    <n v="3472690067"/>
    <n v="3564572176"/>
    <n v="3662378921"/>
    <n v="3337005935"/>
    <x v="202"/>
    <n v="1.8341892820294384E-4"/>
  </r>
  <r>
    <x v="203"/>
    <s v=""/>
    <s v=""/>
    <s v=""/>
    <s v=""/>
    <s v=""/>
    <n v="829275376"/>
    <n v="1395588814"/>
    <n v="1409559368"/>
    <n v="1649612214"/>
    <n v="2126628549"/>
    <x v="203"/>
    <n v="1.8308080243081295E-4"/>
  </r>
  <r>
    <x v="204"/>
    <s v=""/>
    <n v="528479779"/>
    <n v="701772644"/>
    <n v="853032353"/>
    <n v="1196666194"/>
    <n v="1748552205"/>
    <n v="2017810724"/>
    <n v="1949112840"/>
    <n v="2189342695"/>
    <n v="2420978330"/>
    <x v="204"/>
    <n v="1.7939584675919981E-4"/>
  </r>
  <r>
    <x v="205"/>
    <s v=""/>
    <s v=""/>
    <s v=""/>
    <s v=""/>
    <s v=""/>
    <s v=""/>
    <n v="1245127480"/>
    <n v="1108240764"/>
    <n v="1939461209"/>
    <n v="2521141207"/>
    <x v="205"/>
    <n v="1.790884456306633E-4"/>
  </r>
  <r>
    <x v="206"/>
    <s v=""/>
    <s v=""/>
    <s v=""/>
    <s v=""/>
    <n v="1028047594"/>
    <n v="1194252960"/>
    <n v="1600766884"/>
    <n v="1682980185"/>
    <n v="2052382866"/>
    <n v="2340985079"/>
    <x v="206"/>
    <n v="1.7882565477341363E-4"/>
  </r>
  <r>
    <x v="207"/>
    <n v="1430254439"/>
    <n v="1455051105"/>
    <n v="1573207049"/>
    <n v="1365452503"/>
    <n v="1487287060"/>
    <n v="1518190909"/>
    <n v="1979654956"/>
    <n v="2004024430"/>
    <n v="2176789529"/>
    <n v="2402580461"/>
    <x v="207"/>
    <n v="1.7682256022303063E-4"/>
  </r>
  <r>
    <x v="208"/>
    <n v="895815834"/>
    <n v="807978740"/>
    <n v="829207077"/>
    <n v="712826026"/>
    <n v="1208965139"/>
    <n v="1757740075"/>
    <n v="1331276759"/>
    <n v="1759799435"/>
    <n v="3474852508"/>
    <n v="2544888422"/>
    <x v="208"/>
    <n v="1.7159246901654561E-4"/>
  </r>
  <r>
    <x v="209"/>
    <s v=""/>
    <s v=""/>
    <s v=""/>
    <n v="502350781"/>
    <n v="495125306"/>
    <n v="421258348"/>
    <n v="520904152"/>
    <n v="911382128"/>
    <n v="1605095401"/>
    <n v="1617180916"/>
    <x v="209"/>
    <n v="1.7075965018417479E-4"/>
  </r>
  <r>
    <x v="210"/>
    <n v="197452456"/>
    <n v="69038381"/>
    <n v="350808428"/>
    <n v="590445799"/>
    <n v="903636495"/>
    <n v="1512850293"/>
    <n v="1906122074"/>
    <n v="1677151304"/>
    <n v="1785148510"/>
    <n v="2164690133"/>
    <x v="210"/>
    <n v="1.702351523251835E-4"/>
  </r>
  <r>
    <x v="211"/>
    <s v=""/>
    <n v="25023171"/>
    <n v="232806789"/>
    <n v="222186911"/>
    <n v="1345149928"/>
    <n v="1583595618"/>
    <n v="1746902216"/>
    <n v="1444746039"/>
    <n v="2034808734"/>
    <n v="2483361544"/>
    <x v="211"/>
    <n v="1.6862642491312615E-4"/>
  </r>
  <r>
    <x v="212"/>
    <n v="729932712"/>
    <n v="592193287"/>
    <n v="252329348"/>
    <n v="161018590"/>
    <n v="2647612637"/>
    <n v="2729341938"/>
    <n v="2675938547"/>
    <n v="2419002366"/>
    <n v="2543844845"/>
    <n v="2689420697"/>
    <x v="212"/>
    <n v="1.6772620304902634E-4"/>
  </r>
  <r>
    <x v="213"/>
    <s v=""/>
    <n v="335496460"/>
    <n v="421228050"/>
    <n v="403322846"/>
    <n v="511030516"/>
    <n v="1511521182"/>
    <n v="2971578766"/>
    <n v="1379991737"/>
    <n v="1075711508"/>
    <n v="1298772656"/>
    <x v="213"/>
    <n v="1.6367594683244649E-4"/>
  </r>
  <r>
    <x v="214"/>
    <s v=""/>
    <s v=""/>
    <s v=""/>
    <s v=""/>
    <n v="17293371"/>
    <n v="90213179"/>
    <n v="139509314"/>
    <n v="257750110"/>
    <n v="397839488"/>
    <n v="378168675"/>
    <x v="214"/>
    <n v="1.627660466391917E-4"/>
  </r>
  <r>
    <x v="215"/>
    <n v="484748680"/>
    <n v="600281900"/>
    <n v="626041733"/>
    <n v="587309785"/>
    <n v="1104015037"/>
    <n v="1558242370"/>
    <n v="1107399083"/>
    <n v="1576616690"/>
    <n v="1699690681"/>
    <n v="1955903042"/>
    <x v="215"/>
    <n v="1.6276331033688362E-4"/>
  </r>
  <r>
    <x v="216"/>
    <n v="657264981"/>
    <n v="873351017"/>
    <n v="1052015327"/>
    <n v="943011426"/>
    <n v="1069468817"/>
    <n v="1081010975"/>
    <n v="1387843387"/>
    <n v="1562356452"/>
    <n v="1708878580"/>
    <n v="2084850502"/>
    <x v="216"/>
    <n v="1.590556912875219E-4"/>
  </r>
  <r>
    <x v="217"/>
    <s v=""/>
    <s v=""/>
    <s v=""/>
    <s v=""/>
    <s v=""/>
    <s v=""/>
    <s v=""/>
    <s v=""/>
    <s v=""/>
    <n v="2081206831"/>
    <x v="217"/>
    <n v="1.5581949876434785E-4"/>
  </r>
  <r>
    <x v="218"/>
    <s v=""/>
    <s v=""/>
    <s v=""/>
    <s v=""/>
    <n v="692482522"/>
    <n v="1039938576"/>
    <n v="1350195990"/>
    <n v="1591141700"/>
    <n v="1898558337"/>
    <n v="2030733352"/>
    <x v="218"/>
    <n v="1.5281917422834033E-4"/>
  </r>
  <r>
    <x v="219"/>
    <n v="43939612"/>
    <n v="726566211"/>
    <n v="1023051502"/>
    <n v="1052512905"/>
    <n v="1221311301"/>
    <n v="1291789551"/>
    <n v="1507062604"/>
    <n v="1504561234"/>
    <n v="1714070217"/>
    <n v="2013000664"/>
    <x v="219"/>
    <n v="1.5203706856391382E-4"/>
  </r>
  <r>
    <x v="220"/>
    <n v="1541830540"/>
    <n v="1586912598"/>
    <n v="1446827638"/>
    <n v="1346346273"/>
    <n v="1557650174"/>
    <n v="1543632986"/>
    <n v="1816421502"/>
    <n v="1718303067"/>
    <n v="1885554814"/>
    <n v="2177714781"/>
    <x v="220"/>
    <n v="1.4888851043333887E-4"/>
  </r>
  <r>
    <x v="221"/>
    <s v=""/>
    <s v=""/>
    <s v=""/>
    <s v=""/>
    <n v="374532999"/>
    <n v="580579436"/>
    <n v="1082984245"/>
    <n v="1450296370"/>
    <n v="1963234983"/>
    <n v="2194056457"/>
    <x v="221"/>
    <n v="1.4490947054366973E-4"/>
  </r>
  <r>
    <x v="222"/>
    <n v="1247659369"/>
    <n v="1304803570"/>
    <n v="1358622783"/>
    <n v="1434527825"/>
    <n v="1628625691"/>
    <n v="1954929203"/>
    <n v="2445113399"/>
    <n v="2061516555"/>
    <n v="2355859389"/>
    <n v="2480309124"/>
    <x v="222"/>
    <n v="1.4465891626714967E-4"/>
  </r>
  <r>
    <x v="223"/>
    <n v="263151798"/>
    <n v="290154696"/>
    <n v="291658357"/>
    <n v="269291401"/>
    <n v="396815470"/>
    <n v="560876526"/>
    <n v="825108047"/>
    <n v="722057603"/>
    <n v="726242064"/>
    <n v="1658441753"/>
    <x v="223"/>
    <n v="1.4203578950271775E-4"/>
  </r>
  <r>
    <x v="224"/>
    <n v="369908756"/>
    <n v="999892118"/>
    <n v="1053478763"/>
    <n v="1098675072"/>
    <n v="1219107069"/>
    <n v="1666267977"/>
    <n v="1913631958"/>
    <n v="1727684278"/>
    <n v="1865804877"/>
    <n v="2052994305"/>
    <x v="224"/>
    <n v="1.4028154408457811E-4"/>
  </r>
  <r>
    <x v="225"/>
    <s v=""/>
    <s v=""/>
    <s v=""/>
    <s v=""/>
    <s v=""/>
    <s v=""/>
    <s v=""/>
    <s v=""/>
    <s v=""/>
    <s v=""/>
    <x v="225"/>
    <n v="1.3875133799037966E-4"/>
  </r>
  <r>
    <x v="226"/>
    <n v="59812898"/>
    <n v="496058886"/>
    <n v="542461501"/>
    <n v="654293300"/>
    <n v="788725998"/>
    <n v="905301688"/>
    <n v="1129980516"/>
    <n v="960262117"/>
    <n v="2053967544"/>
    <n v="2709183635"/>
    <x v="226"/>
    <n v="1.3727956943128858E-4"/>
  </r>
  <r>
    <x v="227"/>
    <s v=""/>
    <s v=""/>
    <n v="411623452"/>
    <n v="641415624"/>
    <n v="454170535"/>
    <n v="743477096"/>
    <n v="1019888132"/>
    <n v="1224271369"/>
    <n v="1417704500"/>
    <n v="1794551082"/>
    <x v="227"/>
    <n v="1.3718444582693295E-4"/>
  </r>
  <r>
    <x v="228"/>
    <s v=""/>
    <n v="4068022"/>
    <n v="11514804"/>
    <n v="16958802"/>
    <n v="686492506"/>
    <n v="606153716"/>
    <n v="1401365791"/>
    <n v="1237980502"/>
    <n v="1468244222"/>
    <n v="1605780661"/>
    <x v="228"/>
    <n v="1.3707794221194279E-4"/>
  </r>
  <r>
    <x v="229"/>
    <s v=""/>
    <s v=""/>
    <s v=""/>
    <s v=""/>
    <s v=""/>
    <s v=""/>
    <s v=""/>
    <n v="644662289"/>
    <n v="1147627166"/>
    <n v="1538603850"/>
    <x v="229"/>
    <n v="1.3667965474652345E-4"/>
  </r>
  <r>
    <x v="230"/>
    <s v=""/>
    <s v=""/>
    <s v=""/>
    <s v=""/>
    <s v=""/>
    <s v=""/>
    <s v=""/>
    <s v=""/>
    <s v=""/>
    <s v=""/>
    <x v="230"/>
    <n v="1.3600351124153274E-4"/>
  </r>
  <r>
    <x v="231"/>
    <s v=""/>
    <s v=""/>
    <s v=""/>
    <s v=""/>
    <s v=""/>
    <s v=""/>
    <s v=""/>
    <n v="1523031272"/>
    <n v="1693974781"/>
    <n v="1830926369"/>
    <x v="231"/>
    <n v="1.3595691659859898E-4"/>
  </r>
  <r>
    <x v="232"/>
    <n v="604301331"/>
    <n v="756465316"/>
    <n v="804769890"/>
    <n v="845260139"/>
    <n v="969024742"/>
    <n v="1112174890"/>
    <n v="1481258797"/>
    <n v="1367348835"/>
    <n v="1653627996"/>
    <n v="1797692716"/>
    <x v="232"/>
    <n v="1.3288331694537504E-4"/>
  </r>
  <r>
    <x v="233"/>
    <s v=""/>
    <s v=""/>
    <s v=""/>
    <s v=""/>
    <s v=""/>
    <n v="347496841"/>
    <n v="674540777"/>
    <n v="820324876"/>
    <n v="1203672139"/>
    <n v="1607640955"/>
    <x v="233"/>
    <n v="1.3161619982378093E-4"/>
  </r>
  <r>
    <x v="234"/>
    <s v=""/>
    <n v="1268515752"/>
    <n v="1415088078"/>
    <n v="1462259022"/>
    <n v="1521831942"/>
    <n v="1424991269"/>
    <n v="1504324354"/>
    <n v="1615800808"/>
    <n v="1735883671"/>
    <n v="1866219096"/>
    <x v="234"/>
    <n v="1.3124000513009979E-4"/>
  </r>
  <r>
    <x v="235"/>
    <s v=""/>
    <s v=""/>
    <s v=""/>
    <s v=""/>
    <s v=""/>
    <s v=""/>
    <s v=""/>
    <n v="1093745518"/>
    <n v="1977600557"/>
    <n v="2326062618"/>
    <x v="235"/>
    <n v="1.285800364075879E-4"/>
  </r>
  <r>
    <x v="236"/>
    <n v="1040196913"/>
    <n v="783790953"/>
    <n v="565716075"/>
    <n v="870860098"/>
    <n v="1414975383"/>
    <n v="2180444697"/>
    <n v="3036563369"/>
    <n v="2536668179"/>
    <n v="2446065223"/>
    <n v="2545288578"/>
    <x v="236"/>
    <n v="1.2776950829303238E-4"/>
  </r>
  <r>
    <x v="237"/>
    <s v=""/>
    <s v=""/>
    <s v=""/>
    <s v=""/>
    <s v=""/>
    <s v=""/>
    <s v=""/>
    <n v="9678"/>
    <n v="527701983"/>
    <n v="1343474844"/>
    <x v="237"/>
    <n v="1.2749456862122091E-4"/>
  </r>
  <r>
    <x v="238"/>
    <n v="66274222"/>
    <n v="71898827"/>
    <n v="82965028"/>
    <n v="86732851"/>
    <n v="393901459"/>
    <n v="746332008"/>
    <n v="1167679222"/>
    <n v="1165095283"/>
    <n v="1664261632"/>
    <n v="1567012553"/>
    <x v="238"/>
    <n v="1.2494250210598817E-4"/>
  </r>
  <r>
    <x v="239"/>
    <n v="1387298029"/>
    <n v="2393373064"/>
    <n v="1002893165"/>
    <n v="639086350"/>
    <n v="888942813"/>
    <n v="1862739758"/>
    <n v="2268754489"/>
    <n v="1746468228"/>
    <n v="2144529826"/>
    <n v="2624290299"/>
    <x v="239"/>
    <n v="1.2392582014069214E-4"/>
  </r>
  <r>
    <x v="240"/>
    <s v=""/>
    <s v=""/>
    <s v=""/>
    <n v="721477689"/>
    <n v="888912692"/>
    <n v="286962181"/>
    <n v="155691236"/>
    <n v="420314194"/>
    <n v="782889795"/>
    <n v="1348956576"/>
    <x v="240"/>
    <n v="1.2202295776486055E-4"/>
  </r>
  <r>
    <x v="241"/>
    <n v="2545822014"/>
    <n v="2740368791"/>
    <n v="2815362255"/>
    <n v="2661201680"/>
    <n v="2740487862"/>
    <n v="2559888268"/>
    <n v="2280803345"/>
    <n v="2038227520"/>
    <n v="1982131588"/>
    <n v="1874903467"/>
    <x v="241"/>
    <n v="1.1858188972973396E-4"/>
  </r>
  <r>
    <x v="242"/>
    <s v=""/>
    <s v=""/>
    <s v=""/>
    <s v=""/>
    <s v=""/>
    <s v=""/>
    <s v=""/>
    <n v="92604345"/>
    <n v="542474065"/>
    <n v="845488538"/>
    <x v="242"/>
    <n v="1.128257199917985E-4"/>
  </r>
  <r>
    <x v="243"/>
    <n v="744937775"/>
    <n v="1080685590"/>
    <n v="1111450772"/>
    <n v="1077878968"/>
    <n v="1080435801"/>
    <n v="1258048662"/>
    <n v="1511970367"/>
    <n v="1438006392"/>
    <n v="1472599200"/>
    <n v="1613873471"/>
    <x v="243"/>
    <n v="1.111588700962145E-4"/>
  </r>
  <r>
    <x v="244"/>
    <n v="1408941389"/>
    <n v="905667825"/>
    <n v="983807322"/>
    <n v="891170631"/>
    <n v="875720154"/>
    <n v="890515443"/>
    <n v="1147370805"/>
    <n v="1104816282"/>
    <n v="1151523300"/>
    <n v="1565016848"/>
    <x v="244"/>
    <n v="1.0943617674130829E-4"/>
  </r>
  <r>
    <x v="245"/>
    <n v="1452726026"/>
    <n v="1267026276"/>
    <n v="1385456701"/>
    <n v="1258940925"/>
    <n v="1284306330"/>
    <n v="1280796267"/>
    <n v="2398290040"/>
    <n v="2049830530"/>
    <n v="1947226401"/>
    <n v="1993526134"/>
    <x v="245"/>
    <n v="1.0882641650576579E-4"/>
  </r>
  <r>
    <x v="246"/>
    <s v=""/>
    <s v=""/>
    <s v=""/>
    <n v="253927509"/>
    <n v="374657224"/>
    <n v="602388730"/>
    <n v="730165127"/>
    <n v="847426998"/>
    <n v="1168366375"/>
    <n v="1289819836"/>
    <x v="246"/>
    <n v="1.0779715262442437E-4"/>
  </r>
  <r>
    <x v="247"/>
    <n v="567547365"/>
    <n v="570627317"/>
    <n v="659992467"/>
    <n v="641548655"/>
    <n v="725052944"/>
    <n v="859120917"/>
    <n v="1089006892"/>
    <n v="1076307749"/>
    <n v="1208295420"/>
    <n v="1398889745"/>
    <x v="247"/>
    <n v="1.0747845534790431E-4"/>
  </r>
  <r>
    <x v="248"/>
    <n v="608105227"/>
    <n v="654243574"/>
    <n v="661963542"/>
    <n v="654303035"/>
    <n v="721471178"/>
    <n v="901886484"/>
    <n v="1181014577"/>
    <n v="1182493391"/>
    <n v="1351876781"/>
    <n v="1557412708"/>
    <x v="248"/>
    <n v="1.071957367226547E-4"/>
  </r>
  <r>
    <x v="249"/>
    <s v=""/>
    <s v=""/>
    <n v="82968197"/>
    <n v="328482504"/>
    <n v="715900317"/>
    <n v="1197414838"/>
    <n v="1856702254"/>
    <n v="1921112381"/>
    <n v="1738283501"/>
    <n v="1580886974"/>
    <x v="249"/>
    <n v="1.0689907914263652E-4"/>
  </r>
  <r>
    <x v="250"/>
    <s v=""/>
    <s v=""/>
    <s v=""/>
    <s v=""/>
    <s v=""/>
    <n v="615550332"/>
    <n v="739996535"/>
    <n v="736774375"/>
    <n v="949221774"/>
    <n v="1329296503"/>
    <x v="250"/>
    <n v="1.0116300319808436E-4"/>
  </r>
  <r>
    <x v="251"/>
    <s v=""/>
    <n v="2160653"/>
    <n v="60165672"/>
    <n v="67219541"/>
    <n v="105680093"/>
    <n v="134305587"/>
    <n v="217185596"/>
    <n v="466674665"/>
    <n v="605043683"/>
    <n v="1293575623"/>
    <x v="251"/>
    <n v="1.0038725535514554E-4"/>
  </r>
  <r>
    <x v="252"/>
    <s v=""/>
    <s v=""/>
    <n v="163723857"/>
    <n v="269917242"/>
    <n v="386683642"/>
    <n v="384460970"/>
    <n v="575060546"/>
    <n v="712616328"/>
    <n v="961944196"/>
    <n v="1324860572"/>
    <x v="252"/>
    <n v="9.8956851859772045E-5"/>
  </r>
  <r>
    <x v="253"/>
    <s v=""/>
    <n v="78179038"/>
    <n v="665848303"/>
    <n v="953733929"/>
    <n v="941403647"/>
    <n v="934751748"/>
    <n v="1249466933"/>
    <n v="1025498874"/>
    <n v="1187523649"/>
    <n v="1347436373"/>
    <x v="253"/>
    <n v="9.8397821917279774E-5"/>
  </r>
  <r>
    <x v="254"/>
    <s v=""/>
    <s v=""/>
    <s v=""/>
    <s v=""/>
    <s v=""/>
    <s v=""/>
    <s v=""/>
    <s v=""/>
    <s v=""/>
    <n v="664829006"/>
    <x v="254"/>
    <n v="9.8197525545318712E-5"/>
  </r>
  <r>
    <x v="255"/>
    <n v="133980462"/>
    <n v="601251671"/>
    <n v="910004333"/>
    <n v="430616761"/>
    <n v="458947681"/>
    <n v="614159653"/>
    <n v="646828815"/>
    <n v="712590519"/>
    <n v="992106082"/>
    <n v="876444761"/>
    <x v="255"/>
    <n v="9.7993969359080386E-5"/>
  </r>
  <r>
    <x v="256"/>
    <s v=""/>
    <s v=""/>
    <s v=""/>
    <s v=""/>
    <s v=""/>
    <n v="383605239"/>
    <n v="1175029383"/>
    <n v="1246821732"/>
    <n v="1574366119"/>
    <n v="1932517836"/>
    <x v="256"/>
    <n v="9.588790929095545E-5"/>
  </r>
  <r>
    <x v="257"/>
    <s v=""/>
    <s v=""/>
    <s v=""/>
    <s v=""/>
    <s v=""/>
    <s v=""/>
    <s v=""/>
    <s v=""/>
    <s v=""/>
    <n v="1266026866"/>
    <x v="257"/>
    <n v="9.5562644662240153E-5"/>
  </r>
  <r>
    <x v="258"/>
    <s v=""/>
    <s v=""/>
    <s v=""/>
    <s v=""/>
    <s v=""/>
    <n v="2528981206"/>
    <n v="2650393214"/>
    <n v="1592528260"/>
    <n v="1457940850"/>
    <n v="1822704279"/>
    <x v="258"/>
    <n v="9.5538011582512556E-5"/>
  </r>
  <r>
    <x v="259"/>
    <s v=""/>
    <s v=""/>
    <n v="188135523"/>
    <n v="136698768"/>
    <n v="97728930"/>
    <n v="97887239"/>
    <n v="99210121"/>
    <n v="77944766"/>
    <n v="692498324"/>
    <n v="892566955"/>
    <x v="259"/>
    <n v="9.5491184428490137E-5"/>
  </r>
  <r>
    <x v="260"/>
    <n v="108323844"/>
    <n v="310517348"/>
    <n v="319730651"/>
    <n v="309039402"/>
    <n v="365188303"/>
    <n v="434012301"/>
    <n v="531901405"/>
    <n v="703726460"/>
    <n v="940166967"/>
    <n v="1250899735"/>
    <x v="260"/>
    <n v="9.4859114020508375E-5"/>
  </r>
  <r>
    <x v="261"/>
    <n v="283414227"/>
    <n v="1127218129"/>
    <n v="1956186099"/>
    <n v="2035015615"/>
    <n v="2262149085"/>
    <n v="3318853396"/>
    <n v="3766852219"/>
    <n v="2989008467"/>
    <s v=""/>
    <n v="1966536322"/>
    <x v="261"/>
    <n v="9.4484123561756189E-5"/>
  </r>
  <r>
    <x v="262"/>
    <s v=""/>
    <s v=""/>
    <s v=""/>
    <s v=""/>
    <s v=""/>
    <s v=""/>
    <s v=""/>
    <n v="230276979"/>
    <n v="941815627"/>
    <n v="927300459"/>
    <x v="262"/>
    <n v="9.4386053746625207E-5"/>
  </r>
  <r>
    <x v="263"/>
    <s v=""/>
    <n v="262190556"/>
    <n v="380786788"/>
    <n v="572338152"/>
    <n v="575027347"/>
    <n v="674502376"/>
    <n v="1161956915"/>
    <n v="1230578754"/>
    <n v="1442558159"/>
    <n v="1535911365"/>
    <x v="263"/>
    <n v="9.3677754392497965E-5"/>
  </r>
  <r>
    <x v="264"/>
    <n v="2016819602"/>
    <n v="1055642194"/>
    <n v="971170934"/>
    <n v="1142987200"/>
    <n v="1334688278"/>
    <n v="1964114764"/>
    <n v="2381405320"/>
    <n v="1475105262"/>
    <s v=""/>
    <n v="1732448259"/>
    <x v="264"/>
    <n v="9.2728550003509571E-5"/>
  </r>
  <r>
    <x v="265"/>
    <n v="1721978526"/>
    <n v="1384961323"/>
    <n v="1240949686"/>
    <n v="1069456152"/>
    <n v="1034476736"/>
    <n v="1107321929"/>
    <n v="1256794006"/>
    <n v="1141269287"/>
    <n v="1283523453"/>
    <n v="1405541514"/>
    <x v="265"/>
    <n v="9.1345240612338797E-5"/>
  </r>
  <r>
    <x v="266"/>
    <s v=""/>
    <s v=""/>
    <s v=""/>
    <s v=""/>
    <s v=""/>
    <s v=""/>
    <s v=""/>
    <s v=""/>
    <s v=""/>
    <s v=""/>
    <x v="266"/>
    <n v="9.0115236113641904E-5"/>
  </r>
  <r>
    <x v="267"/>
    <s v=""/>
    <s v=""/>
    <s v=""/>
    <s v=""/>
    <s v=""/>
    <s v=""/>
    <n v="454506965"/>
    <n v="593493212"/>
    <n v="711697687"/>
    <n v="949249203"/>
    <x v="267"/>
    <n v="9.0048064774522242E-5"/>
  </r>
  <r>
    <x v="268"/>
    <n v="257308816"/>
    <n v="369355683"/>
    <n v="373583798"/>
    <n v="412647952"/>
    <n v="509407358"/>
    <n v="607376634"/>
    <n v="928749174"/>
    <n v="811304096"/>
    <n v="1017757962"/>
    <n v="1221386520"/>
    <x v="268"/>
    <n v="8.892456716473284E-5"/>
  </r>
  <r>
    <x v="269"/>
    <s v=""/>
    <s v=""/>
    <s v=""/>
    <s v=""/>
    <s v=""/>
    <s v=""/>
    <s v=""/>
    <n v="198373667"/>
    <n v="451825397"/>
    <n v="756413604"/>
    <x v="269"/>
    <n v="8.8657635935370595E-5"/>
  </r>
  <r>
    <x v="270"/>
    <n v="199624104"/>
    <n v="249489935"/>
    <n v="738780890"/>
    <n v="799374561"/>
    <n v="669636052"/>
    <n v="587825602"/>
    <n v="897939700"/>
    <n v="1116718081"/>
    <n v="1359389167"/>
    <n v="1161329011"/>
    <x v="270"/>
    <n v="8.8179348789549025E-5"/>
  </r>
  <r>
    <x v="271"/>
    <n v="84139247"/>
    <n v="57293819"/>
    <n v="79122325"/>
    <n v="93860902"/>
    <n v="120220847"/>
    <n v="174134455"/>
    <n v="258439721"/>
    <n v="804064362"/>
    <n v="1027600611"/>
    <n v="1075563619"/>
    <x v="271"/>
    <n v="8.6720876553035407E-5"/>
  </r>
  <r>
    <x v="272"/>
    <s v=""/>
    <s v=""/>
    <s v=""/>
    <s v=""/>
    <s v=""/>
    <s v=""/>
    <n v="462216887"/>
    <n v="475423344"/>
    <n v="1072047519"/>
    <n v="1190494295"/>
    <x v="272"/>
    <n v="8.2979351619817362E-5"/>
  </r>
  <r>
    <x v="273"/>
    <s v=""/>
    <s v=""/>
    <n v="73393616"/>
    <n v="167726865"/>
    <n v="363160014"/>
    <n v="543596217"/>
    <n v="598115144"/>
    <n v="354257295"/>
    <n v="571497187"/>
    <n v="968489222"/>
    <x v="273"/>
    <n v="8.2359985773860058E-5"/>
  </r>
  <r>
    <x v="274"/>
    <s v=""/>
    <s v=""/>
    <s v=""/>
    <s v=""/>
    <s v=""/>
    <s v=""/>
    <s v=""/>
    <s v=""/>
    <s v=""/>
    <s v=""/>
    <x v="274"/>
    <n v="8.2327602513390674E-5"/>
  </r>
  <r>
    <x v="275"/>
    <s v=""/>
    <s v=""/>
    <s v=""/>
    <s v=""/>
    <s v=""/>
    <n v="494878029"/>
    <n v="701294337"/>
    <n v="857721299"/>
    <n v="1135847761"/>
    <n v="1301693358"/>
    <x v="275"/>
    <n v="8.1700610265949693E-5"/>
  </r>
  <r>
    <x v="276"/>
    <s v=""/>
    <n v="488667745"/>
    <n v="637370510"/>
    <n v="679433313"/>
    <n v="679302837"/>
    <n v="648724509"/>
    <n v="750814266"/>
    <n v="766856300"/>
    <n v="983750489"/>
    <n v="1165628962"/>
    <x v="276"/>
    <n v="8.1595440835221524E-5"/>
  </r>
  <r>
    <x v="277"/>
    <s v=""/>
    <s v=""/>
    <s v=""/>
    <s v=""/>
    <s v=""/>
    <s v=""/>
    <s v=""/>
    <s v=""/>
    <s v=""/>
    <s v=""/>
    <x v="277"/>
    <n v="8.052031440922383E-5"/>
  </r>
  <r>
    <x v="278"/>
    <n v="1163662926"/>
    <n v="1056961454"/>
    <n v="1035627100"/>
    <n v="901645287"/>
    <n v="916169698"/>
    <n v="947532494"/>
    <n v="1065335573"/>
    <n v="1013858647"/>
    <n v="1059037395"/>
    <n v="1160757801"/>
    <x v="278"/>
    <n v="8.0115823626029684E-5"/>
  </r>
  <r>
    <x v="279"/>
    <s v=""/>
    <s v=""/>
    <s v=""/>
    <n v="123361818"/>
    <n v="182882002"/>
    <n v="482653676"/>
    <n v="765680706"/>
    <n v="867554544"/>
    <n v="1190642191"/>
    <n v="1336597136"/>
    <x v="279"/>
    <n v="7.9668466436193526E-5"/>
  </r>
  <r>
    <x v="280"/>
    <s v=""/>
    <s v=""/>
    <s v=""/>
    <s v=""/>
    <n v="499005618"/>
    <n v="805315057"/>
    <n v="1047897876"/>
    <n v="1441856849"/>
    <n v="1561641758"/>
    <n v="1208634471"/>
    <x v="280"/>
    <n v="7.9540384872961464E-5"/>
  </r>
  <r>
    <x v="281"/>
    <n v="248537793"/>
    <n v="387830156"/>
    <n v="434141281"/>
    <n v="438257603"/>
    <n v="461935911"/>
    <n v="617537483"/>
    <n v="793872611"/>
    <n v="818432440"/>
    <n v="941622777"/>
    <n v="1037709193"/>
    <x v="281"/>
    <n v="7.8229628448401404E-5"/>
  </r>
  <r>
    <x v="282"/>
    <s v=""/>
    <s v=""/>
    <n v="109059409"/>
    <n v="163930973"/>
    <n v="532490759"/>
    <n v="829842530"/>
    <n v="1039740286"/>
    <n v="867791226"/>
    <n v="1024385576"/>
    <n v="1094299128"/>
    <x v="282"/>
    <n v="7.6115875241247722E-5"/>
  </r>
  <r>
    <x v="283"/>
    <s v=""/>
    <s v=""/>
    <n v="141600289"/>
    <n v="228532847"/>
    <n v="343310835"/>
    <n v="423568295"/>
    <n v="559992531"/>
    <n v="478703337"/>
    <n v="652299382"/>
    <n v="904677812"/>
    <x v="283"/>
    <n v="7.4727020400800723E-5"/>
  </r>
  <r>
    <x v="284"/>
    <s v=""/>
    <n v="566083424"/>
    <n v="586697724"/>
    <n v="531410696"/>
    <n v="568040530"/>
    <n v="596217525"/>
    <n v="654949775"/>
    <n v="562835461"/>
    <n v="668361891"/>
    <n v="762247085"/>
    <x v="284"/>
    <n v="7.3618125847313363E-5"/>
  </r>
  <r>
    <x v="285"/>
    <s v=""/>
    <s v=""/>
    <s v=""/>
    <s v=""/>
    <s v=""/>
    <s v=""/>
    <s v=""/>
    <s v=""/>
    <n v="738379639"/>
    <n v="909758012"/>
    <x v="285"/>
    <n v="7.2990998173023841E-5"/>
  </r>
  <r>
    <x v="286"/>
    <s v=""/>
    <n v="151408720"/>
    <n v="181412550"/>
    <n v="305606923"/>
    <n v="339713471"/>
    <n v="400227484"/>
    <n v="605055878"/>
    <n v="687037699"/>
    <n v="655088683"/>
    <n v="771146862"/>
    <x v="286"/>
    <n v="7.2748929449440374E-5"/>
  </r>
  <r>
    <x v="287"/>
    <s v=""/>
    <n v="137368942"/>
    <n v="189595418"/>
    <n v="218956686"/>
    <n v="612777952"/>
    <n v="888917266"/>
    <n v="1027175367"/>
    <n v="653508831"/>
    <n v="863413066"/>
    <n v="1063203964"/>
    <x v="287"/>
    <n v="7.2681158668654039E-5"/>
  </r>
  <r>
    <x v="288"/>
    <n v="199305615"/>
    <n v="207330490"/>
    <n v="339988374"/>
    <n v="391863928"/>
    <n v="564804667"/>
    <n v="621405997"/>
    <n v="798933644"/>
    <n v="739745450"/>
    <n v="910334357"/>
    <n v="1099019594"/>
    <x v="288"/>
    <n v="7.2072427261624854E-5"/>
  </r>
  <r>
    <x v="289"/>
    <n v="4019599546"/>
    <n v="1866284288"/>
    <n v="2438088168"/>
    <n v="2171615469"/>
    <n v="2029997935"/>
    <n v="2089729300"/>
    <n v="3057731102"/>
    <n v="1918034945"/>
    <n v="1986010080"/>
    <n v="1386615246"/>
    <x v="289"/>
    <n v="7.0207972720744569E-5"/>
  </r>
  <r>
    <x v="290"/>
    <n v="561000000"/>
    <n v="607266377"/>
    <n v="1887825887"/>
    <n v="1676791735"/>
    <n v="1426659736"/>
    <n v="1218986914"/>
    <n v="1522224609"/>
    <n v="1595855166"/>
    <n v="1558064153"/>
    <n v="611528288"/>
    <x v="290"/>
    <n v="6.9231246775525729E-5"/>
  </r>
  <r>
    <x v="291"/>
    <s v=""/>
    <n v="14342486"/>
    <n v="182687369"/>
    <n v="211836316"/>
    <n v="551308737"/>
    <n v="926874557"/>
    <n v="1374836153"/>
    <n v="1315073731"/>
    <n v="1344019942"/>
    <n v="1089724735"/>
    <x v="291"/>
    <n v="6.8094771042736998E-5"/>
  </r>
  <r>
    <x v="292"/>
    <s v=""/>
    <s v=""/>
    <s v=""/>
    <n v="173280851"/>
    <n v="321333887"/>
    <n v="576434729"/>
    <n v="799576569"/>
    <n v="849173340"/>
    <n v="1052916386"/>
    <n v="823908349"/>
    <x v="292"/>
    <n v="6.7980020744853639E-5"/>
  </r>
  <r>
    <x v="293"/>
    <n v="349103750"/>
    <n v="420807378"/>
    <n v="456856376"/>
    <n v="438103119"/>
    <n v="521943437"/>
    <n v="594407004"/>
    <n v="817772141"/>
    <n v="796708529"/>
    <n v="836061257"/>
    <n v="956493950"/>
    <x v="293"/>
    <n v="6.7394273874268735E-5"/>
  </r>
  <r>
    <x v="294"/>
    <s v=""/>
    <s v=""/>
    <s v=""/>
    <n v="263959226"/>
    <n v="315759184"/>
    <n v="600781563"/>
    <n v="515951166"/>
    <n v="408487581"/>
    <n v="541848782"/>
    <n v="608318932"/>
    <x v="294"/>
    <n v="6.6827442690516707E-5"/>
  </r>
  <r>
    <x v="295"/>
    <s v=""/>
    <s v=""/>
    <n v="5074501"/>
    <n v="26768459"/>
    <n v="114344876"/>
    <n v="177799931"/>
    <n v="371635603"/>
    <n v="522155652"/>
    <n v="666749501"/>
    <n v="930284374"/>
    <x v="295"/>
    <n v="6.5588071766248159E-5"/>
  </r>
  <r>
    <x v="296"/>
    <n v="925761630"/>
    <n v="882298297"/>
    <n v="841194209"/>
    <n v="817069585"/>
    <n v="877271560"/>
    <n v="1163195559"/>
    <n v="1208198063"/>
    <n v="1068444864"/>
    <n v="1138560620"/>
    <n v="1126465415"/>
    <x v="296"/>
    <n v="6.5015306355539841E-5"/>
  </r>
  <r>
    <x v="297"/>
    <s v=""/>
    <s v=""/>
    <s v=""/>
    <s v=""/>
    <s v=""/>
    <s v=""/>
    <s v=""/>
    <s v=""/>
    <s v=""/>
    <s v=""/>
    <x v="297"/>
    <n v="6.3677520280824507E-5"/>
  </r>
  <r>
    <x v="298"/>
    <n v="782525838"/>
    <n v="745868179"/>
    <n v="644953175"/>
    <n v="554069487"/>
    <n v="606715503"/>
    <n v="677686728"/>
    <n v="806997313"/>
    <n v="751028703"/>
    <n v="842054918"/>
    <n v="918030056"/>
    <x v="298"/>
    <n v="6.3647981487854202E-5"/>
  </r>
  <r>
    <x v="299"/>
    <s v=""/>
    <s v=""/>
    <s v=""/>
    <s v=""/>
    <s v=""/>
    <n v="421197675"/>
    <n v="843627531"/>
    <n v="882387236"/>
    <n v="1004626700"/>
    <n v="955051577"/>
    <x v="299"/>
    <n v="6.2423037961632259E-5"/>
  </r>
  <r>
    <x v="300"/>
    <n v="301749431"/>
    <n v="319020933"/>
    <n v="339532073"/>
    <n v="309495046"/>
    <n v="341439821"/>
    <n v="420272019"/>
    <n v="598952759"/>
    <n v="619010174"/>
    <n v="673710643"/>
    <n v="769422716"/>
    <x v="300"/>
    <n v="6.2253975138526759E-5"/>
  </r>
  <r>
    <x v="301"/>
    <n v="295619739"/>
    <n v="312231584"/>
    <n v="364314951"/>
    <n v="448405768"/>
    <n v="357544769"/>
    <n v="391726385"/>
    <n v="521046826"/>
    <n v="546021524"/>
    <n v="605859824"/>
    <n v="731155761"/>
    <x v="301"/>
    <n v="5.9114892039434076E-5"/>
  </r>
  <r>
    <x v="302"/>
    <n v="713623067"/>
    <n v="753692633"/>
    <n v="721414415"/>
    <n v="583804527"/>
    <n v="535839543"/>
    <n v="442191608"/>
    <n v="573388671"/>
    <n v="571804493"/>
    <n v="732651061"/>
    <n v="796497343"/>
    <x v="302"/>
    <n v="5.9045863004083257E-5"/>
  </r>
  <r>
    <x v="303"/>
    <s v=""/>
    <s v=""/>
    <s v=""/>
    <s v=""/>
    <s v=""/>
    <s v=""/>
    <s v=""/>
    <s v=""/>
    <s v=""/>
    <s v=""/>
    <x v="303"/>
    <n v="5.8778398063240253E-5"/>
  </r>
  <r>
    <x v="304"/>
    <s v=""/>
    <s v=""/>
    <s v=""/>
    <s v=""/>
    <s v=""/>
    <s v=""/>
    <n v="182809314"/>
    <n v="429930640"/>
    <n v="600554381"/>
    <n v="596296879"/>
    <x v="304"/>
    <n v="5.860353713258645E-5"/>
  </r>
  <r>
    <x v="305"/>
    <n v="930583855"/>
    <n v="780129131"/>
    <n v="892389858"/>
    <n v="728427678"/>
    <n v="702155104"/>
    <n v="705207643"/>
    <n v="807036030"/>
    <n v="836070168"/>
    <n v="863417889"/>
    <n v="795358932"/>
    <x v="305"/>
    <n v="5.8552464589257877E-5"/>
  </r>
  <r>
    <x v="306"/>
    <s v=""/>
    <s v=""/>
    <s v=""/>
    <s v=""/>
    <s v=""/>
    <s v=""/>
    <s v=""/>
    <s v=""/>
    <n v="421978751"/>
    <n v="777875134"/>
    <x v="306"/>
    <n v="5.740570749693045E-5"/>
  </r>
  <r>
    <x v="307"/>
    <s v=""/>
    <s v=""/>
    <n v="219994466"/>
    <n v="296429840"/>
    <n v="338998289"/>
    <n v="424542916"/>
    <n v="571669763"/>
    <n v="560321945"/>
    <n v="633271824"/>
    <n v="881725187"/>
    <x v="307"/>
    <n v="5.5285558251600549E-5"/>
  </r>
  <r>
    <x v="308"/>
    <s v=""/>
    <s v=""/>
    <s v=""/>
    <s v=""/>
    <s v=""/>
    <s v=""/>
    <s v=""/>
    <s v=""/>
    <n v="981802786"/>
    <n v="1051345673"/>
    <x v="308"/>
    <n v="5.4723131053264145E-5"/>
  </r>
  <r>
    <x v="309"/>
    <n v="289538463"/>
    <n v="396844427"/>
    <n v="467591359"/>
    <n v="450700027"/>
    <n v="521238487"/>
    <n v="557412879"/>
    <n v="726095221"/>
    <n v="755693232"/>
    <n v="791874238"/>
    <n v="735868994"/>
    <x v="309"/>
    <n v="5.4377778927160353E-5"/>
  </r>
  <r>
    <x v="310"/>
    <s v=""/>
    <s v=""/>
    <s v=""/>
    <n v="912684447"/>
    <n v="1331550402"/>
    <n v="1471296404"/>
    <n v="1904947375"/>
    <n v="2083338917"/>
    <n v="2522777704"/>
    <n v="2659270964"/>
    <x v="310"/>
    <n v="5.2865927987376073E-5"/>
  </r>
  <r>
    <x v="311"/>
    <s v=""/>
    <s v=""/>
    <n v="57126878"/>
    <n v="312898779"/>
    <n v="419918657"/>
    <n v="599897185"/>
    <n v="881685046"/>
    <n v="520927869"/>
    <n v="892287190"/>
    <n v="915427796"/>
    <x v="311"/>
    <n v="5.2830371167758455E-5"/>
  </r>
  <r>
    <x v="312"/>
    <n v="308427374"/>
    <n v="354947417"/>
    <n v="402983732"/>
    <n v="274189709"/>
    <n v="243041293"/>
    <n v="238638425"/>
    <n v="240184376"/>
    <n v="224987523"/>
    <n v="3434935"/>
    <n v="658993512"/>
    <x v="312"/>
    <n v="5.2622743046871237E-5"/>
  </r>
  <r>
    <x v="313"/>
    <s v=""/>
    <s v=""/>
    <s v=""/>
    <n v="230838142"/>
    <n v="725307614"/>
    <n v="529042324"/>
    <n v="553363296"/>
    <n v="560641073"/>
    <n v="550101424"/>
    <n v="694798406"/>
    <x v="313"/>
    <n v="5.2377139499956844E-5"/>
  </r>
  <r>
    <x v="314"/>
    <s v=""/>
    <n v="63273079"/>
    <n v="54598145"/>
    <n v="177887533"/>
    <n v="167676513"/>
    <n v="218893865"/>
    <n v="278195451"/>
    <n v="391120910"/>
    <n v="425603623"/>
    <n v="591828152"/>
    <x v="314"/>
    <n v="5.2026329690744594E-5"/>
  </r>
  <r>
    <x v="315"/>
    <s v=""/>
    <s v=""/>
    <s v=""/>
    <s v=""/>
    <s v=""/>
    <s v=""/>
    <s v=""/>
    <n v="214901117"/>
    <n v="351401648"/>
    <n v="644896840"/>
    <x v="315"/>
    <n v="5.1728656189002484E-5"/>
  </r>
  <r>
    <x v="316"/>
    <s v=""/>
    <s v=""/>
    <s v=""/>
    <s v=""/>
    <s v=""/>
    <s v=""/>
    <s v=""/>
    <s v=""/>
    <s v=""/>
    <n v="324966166"/>
    <x v="316"/>
    <n v="5.0632772119927815E-5"/>
  </r>
  <r>
    <x v="317"/>
    <s v=""/>
    <n v="82511861"/>
    <n v="79481867"/>
    <n v="86205883"/>
    <n v="104592497"/>
    <n v="412733068"/>
    <n v="482985629"/>
    <n v="487425529"/>
    <n v="532858455"/>
    <n v="632496869"/>
    <x v="317"/>
    <n v="5.0311951959874827E-5"/>
  </r>
  <r>
    <x v="318"/>
    <n v="393340117"/>
    <n v="414632522"/>
    <n v="449634469"/>
    <n v="440343905"/>
    <n v="502422251"/>
    <n v="507758839"/>
    <n v="602964926"/>
    <n v="600249879"/>
    <n v="633080960"/>
    <n v="681682450"/>
    <x v="318"/>
    <n v="5.0157187403962209E-5"/>
  </r>
  <r>
    <x v="319"/>
    <s v=""/>
    <s v=""/>
    <s v=""/>
    <s v=""/>
    <s v=""/>
    <s v=""/>
    <s v=""/>
    <s v=""/>
    <s v=""/>
    <s v=""/>
    <x v="319"/>
    <n v="5.0036527496462309E-5"/>
  </r>
  <r>
    <x v="320"/>
    <n v="80976516"/>
    <n v="55548760"/>
    <n v="87891717"/>
    <n v="206180149"/>
    <n v="231553945"/>
    <n v="270765316"/>
    <n v="320981130"/>
    <n v="421794839"/>
    <n v="543728527"/>
    <n v="563691092"/>
    <x v="320"/>
    <n v="4.965217476749505E-5"/>
  </r>
  <r>
    <x v="321"/>
    <n v="606412049"/>
    <n v="815382486"/>
    <n v="857514745"/>
    <n v="616321602"/>
    <n v="627769188"/>
    <n v="537107273"/>
    <n v="548744891"/>
    <n v="486200527"/>
    <n v="527815459"/>
    <n v="626159838"/>
    <x v="321"/>
    <n v="4.9458499767364753E-5"/>
  </r>
  <r>
    <x v="322"/>
    <s v=""/>
    <n v="85800880"/>
    <n v="153641139"/>
    <n v="272947776"/>
    <n v="308297738"/>
    <n v="355556122"/>
    <n v="485869721"/>
    <n v="497097743"/>
    <n v="545063805"/>
    <n v="604377495"/>
    <x v="322"/>
    <n v="4.9314419010979636E-5"/>
  </r>
  <r>
    <x v="323"/>
    <s v=""/>
    <s v=""/>
    <s v=""/>
    <s v=""/>
    <s v=""/>
    <s v=""/>
    <s v=""/>
    <s v=""/>
    <s v=""/>
    <n v="616600241"/>
    <x v="323"/>
    <n v="4.9055674967359548E-5"/>
  </r>
  <r>
    <x v="324"/>
    <n v="1030144726"/>
    <n v="889193661"/>
    <n v="819831549"/>
    <n v="715426059"/>
    <n v="719923191"/>
    <n v="694090300"/>
    <n v="788976265"/>
    <n v="737842285"/>
    <n v="753916835"/>
    <n v="757839537"/>
    <x v="324"/>
    <n v="4.8984677866988396E-5"/>
  </r>
  <r>
    <x v="325"/>
    <s v=""/>
    <s v=""/>
    <s v=""/>
    <s v=""/>
    <s v=""/>
    <n v="2028553"/>
    <n v="91437101"/>
    <n v="498971939"/>
    <n v="579673029"/>
    <n v="622776868"/>
    <x v="325"/>
    <n v="4.8921140324238213E-5"/>
  </r>
  <r>
    <x v="326"/>
    <n v="596679385"/>
    <n v="492610012"/>
    <n v="759974104"/>
    <n v="698521474"/>
    <n v="699306773"/>
    <n v="585020128"/>
    <n v="648973462"/>
    <n v="628463457"/>
    <n v="684747569"/>
    <n v="724752585"/>
    <x v="326"/>
    <n v="4.8791831545696125E-5"/>
  </r>
  <r>
    <x v="327"/>
    <s v=""/>
    <s v=""/>
    <s v=""/>
    <s v=""/>
    <s v=""/>
    <s v=""/>
    <s v=""/>
    <s v=""/>
    <n v="339640496"/>
    <n v="584067069"/>
    <x v="327"/>
    <n v="4.8753360435996891E-5"/>
  </r>
  <r>
    <x v="328"/>
    <n v="1180546020"/>
    <n v="994507264"/>
    <n v="892224124"/>
    <s v=""/>
    <n v="853745085"/>
    <n v="1258864712"/>
    <n v="1391639190"/>
    <n v="1067040051"/>
    <n v="1017065530"/>
    <n v="1073677751"/>
    <x v="328"/>
    <n v="4.8626107362723006E-5"/>
  </r>
  <r>
    <x v="329"/>
    <n v="45393371"/>
    <n v="25254760"/>
    <n v="27956567"/>
    <n v="91265291"/>
    <n v="160542035"/>
    <n v="174871114"/>
    <n v="281313385"/>
    <n v="418743017"/>
    <n v="440172844"/>
    <n v="560151102"/>
    <x v="329"/>
    <n v="4.8623182117610406E-5"/>
  </r>
  <r>
    <x v="330"/>
    <n v="79543631"/>
    <n v="79724380"/>
    <n v="59654497"/>
    <n v="149591046"/>
    <n v="220492828"/>
    <n v="279176595"/>
    <n v="417964086"/>
    <n v="482293313"/>
    <n v="545225043"/>
    <n v="606551998"/>
    <x v="330"/>
    <n v="4.8589656826640886E-5"/>
  </r>
  <r>
    <x v="331"/>
    <s v=""/>
    <s v=""/>
    <s v=""/>
    <s v=""/>
    <n v="307013419"/>
    <n v="426159180"/>
    <n v="579573722"/>
    <n v="559519320"/>
    <n v="707839486"/>
    <n v="844295371"/>
    <x v="331"/>
    <n v="4.7566901429943139E-5"/>
  </r>
  <r>
    <x v="332"/>
    <s v=""/>
    <s v=""/>
    <s v=""/>
    <s v=""/>
    <s v=""/>
    <s v=""/>
    <s v=""/>
    <n v="405092226"/>
    <n v="540989596"/>
    <n v="880238604"/>
    <x v="332"/>
    <n v="4.5800096887259339E-5"/>
  </r>
  <r>
    <x v="333"/>
    <s v=""/>
    <s v=""/>
    <s v=""/>
    <s v=""/>
    <s v=""/>
    <s v=""/>
    <s v=""/>
    <s v=""/>
    <s v=""/>
    <n v="576286717"/>
    <x v="333"/>
    <n v="4.4799650907481502E-5"/>
  </r>
  <r>
    <x v="334"/>
    <s v=""/>
    <s v=""/>
    <n v="14728299"/>
    <n v="207547364"/>
    <n v="335767311"/>
    <n v="400374278"/>
    <n v="535959085"/>
    <n v="528456219"/>
    <n v="551011247"/>
    <n v="606707127"/>
    <x v="334"/>
    <n v="4.4388200216815182E-5"/>
  </r>
  <r>
    <x v="335"/>
    <s v=""/>
    <n v="550660103"/>
    <n v="464410856"/>
    <n v="346692184"/>
    <n v="306935569"/>
    <n v="325038725"/>
    <n v="386229888"/>
    <n v="152791209"/>
    <n v="470434388"/>
    <n v="564619761"/>
    <x v="335"/>
    <n v="4.3972089482623973E-5"/>
  </r>
  <r>
    <x v="336"/>
    <s v=""/>
    <s v=""/>
    <s v=""/>
    <s v=""/>
    <s v=""/>
    <s v=""/>
    <s v=""/>
    <s v=""/>
    <s v=""/>
    <n v="555478656"/>
    <x v="336"/>
    <n v="4.3662144583300915E-5"/>
  </r>
  <r>
    <x v="337"/>
    <s v=""/>
    <s v=""/>
    <s v=""/>
    <n v="81086245"/>
    <n v="265746084"/>
    <n v="330429611"/>
    <n v="336188266"/>
    <n v="577415390"/>
    <n v="609924494"/>
    <n v="645869630"/>
    <x v="337"/>
    <n v="4.3309737291323353E-5"/>
  </r>
  <r>
    <x v="338"/>
    <n v="4836158315"/>
    <n v="3740227038"/>
    <n v="3561719348"/>
    <n v="4023464097"/>
    <n v="3922209747"/>
    <n v="653006402"/>
    <n v="967799220"/>
    <n v="1096995349"/>
    <n v="1512616216"/>
    <n v="596884024"/>
    <x v="338"/>
    <n v="4.3009741511892417E-5"/>
  </r>
  <r>
    <x v="339"/>
    <n v="316843550"/>
    <n v="72721364"/>
    <n v="210751073"/>
    <n v="205798940"/>
    <n v="209069359"/>
    <n v="274387221"/>
    <n v="398397491"/>
    <n v="371241273"/>
    <n v="495702468"/>
    <n v="581350357"/>
    <x v="339"/>
    <n v="4.2548699347718652E-5"/>
  </r>
  <r>
    <x v="340"/>
    <s v=""/>
    <s v=""/>
    <s v=""/>
    <s v=""/>
    <s v=""/>
    <n v="262381157"/>
    <n v="290544627"/>
    <n v="335958286"/>
    <n v="360837359"/>
    <n v="498575052"/>
    <x v="340"/>
    <n v="4.2338197986636038E-5"/>
  </r>
  <r>
    <x v="341"/>
    <n v="70320621"/>
    <n v="139679866"/>
    <n v="186501693"/>
    <n v="212473176"/>
    <n v="364541942"/>
    <n v="538112053"/>
    <n v="638961668"/>
    <n v="316997752"/>
    <n v="455477410"/>
    <n v="538397830"/>
    <x v="341"/>
    <n v="4.176915073862777E-5"/>
  </r>
  <r>
    <x v="342"/>
    <n v="366021946"/>
    <n v="258782517"/>
    <n v="284871038"/>
    <n v="292991513"/>
    <n v="193651150"/>
    <n v="199944856"/>
    <n v="210785540"/>
    <n v="389307036"/>
    <n v="399100850"/>
    <n v="576424550"/>
    <x v="342"/>
    <n v="4.1358577268919521E-5"/>
  </r>
  <r>
    <x v="343"/>
    <n v="1269016756"/>
    <n v="1102677608"/>
    <n v="1062673870"/>
    <n v="845330828"/>
    <n v="704100785"/>
    <n v="673424721"/>
    <n v="752375578"/>
    <n v="699690472"/>
    <n v="976750736"/>
    <n v="666617376"/>
    <x v="343"/>
    <n v="4.1071986669816454E-5"/>
  </r>
  <r>
    <x v="344"/>
    <s v=""/>
    <s v=""/>
    <n v="175443686"/>
    <n v="198143427"/>
    <n v="234400191"/>
    <n v="216341242"/>
    <n v="287789757"/>
    <n v="289100863"/>
    <n v="451785457"/>
    <n v="549635621"/>
    <x v="344"/>
    <n v="4.0236383496697085E-5"/>
  </r>
  <r>
    <x v="345"/>
    <n v="98758735"/>
    <n v="77102194"/>
    <n v="131051586"/>
    <n v="104726443"/>
    <n v="72399247"/>
    <n v="55002695"/>
    <n v="184390053"/>
    <n v="283048605"/>
    <n v="409628481"/>
    <n v="500847581"/>
    <x v="345"/>
    <n v="3.974299547026316E-5"/>
  </r>
  <r>
    <x v="346"/>
    <s v=""/>
    <n v="112981262"/>
    <n v="196609743"/>
    <n v="213111659"/>
    <n v="224241187"/>
    <n v="247690871"/>
    <n v="328517932"/>
    <n v="342016658"/>
    <n v="417810203"/>
    <n v="515339271"/>
    <x v="346"/>
    <n v="3.9607325218556406E-5"/>
  </r>
  <r>
    <x v="347"/>
    <n v="412790700"/>
    <n v="378311851"/>
    <n v="582363988"/>
    <n v="677570931"/>
    <n v="677722239"/>
    <n v="599587427"/>
    <n v="570273436"/>
    <n v="496851367"/>
    <n v="400798855"/>
    <n v="620108399"/>
    <x v="347"/>
    <n v="3.953050847833467E-5"/>
  </r>
  <r>
    <x v="348"/>
    <n v="200936305"/>
    <n v="220287251"/>
    <n v="238675791"/>
    <n v="246826727"/>
    <n v="328961187"/>
    <n v="340448962"/>
    <n v="425894607"/>
    <n v="456720613"/>
    <n v="491490861"/>
    <n v="553796920"/>
    <x v="348"/>
    <n v="3.9194402020621929E-5"/>
  </r>
  <r>
    <x v="349"/>
    <s v=""/>
    <s v=""/>
    <s v=""/>
    <s v=""/>
    <s v=""/>
    <s v=""/>
    <s v=""/>
    <s v=""/>
    <s v=""/>
    <n v="331456298"/>
    <x v="349"/>
    <n v="3.8541107499307073E-5"/>
  </r>
  <r>
    <x v="350"/>
    <s v=""/>
    <s v=""/>
    <s v=""/>
    <s v=""/>
    <s v=""/>
    <s v=""/>
    <n v="214895667"/>
    <n v="201743816"/>
    <n v="257164452"/>
    <n v="503576578"/>
    <x v="350"/>
    <n v="3.6923050493247745E-5"/>
  </r>
  <r>
    <x v="351"/>
    <s v=""/>
    <s v=""/>
    <s v=""/>
    <s v=""/>
    <s v=""/>
    <s v=""/>
    <s v=""/>
    <s v=""/>
    <s v=""/>
    <n v="411166372"/>
    <x v="351"/>
    <n v="3.690801565762104E-5"/>
  </r>
  <r>
    <x v="352"/>
    <n v="538508317"/>
    <n v="582791664"/>
    <n v="508374195"/>
    <n v="380000729"/>
    <n v="423997018"/>
    <n v="356571243"/>
    <n v="465159135"/>
    <n v="423788957"/>
    <n v="332874052"/>
    <n v="368842893"/>
    <x v="352"/>
    <n v="3.6468888655171643E-5"/>
  </r>
  <r>
    <x v="353"/>
    <n v="402122416"/>
    <n v="497927249"/>
    <n v="1103930307"/>
    <n v="1177360066"/>
    <n v="435900625"/>
    <n v="447292968"/>
    <n v="494402984"/>
    <n v="437458870"/>
    <n v="410272217"/>
    <n v="404969125"/>
    <x v="353"/>
    <n v="3.5878558678118529E-5"/>
  </r>
  <r>
    <x v="354"/>
    <n v="35851604"/>
    <n v="87114151"/>
    <n v="148969833"/>
    <n v="144143028"/>
    <n v="137467167"/>
    <n v="90102422"/>
    <n v="146046290"/>
    <n v="144700032"/>
    <n v="299956832"/>
    <n v="507200951"/>
    <x v="354"/>
    <n v="3.5333074505518436E-5"/>
  </r>
  <r>
    <x v="355"/>
    <s v=""/>
    <s v=""/>
    <s v=""/>
    <s v=""/>
    <s v=""/>
    <s v=""/>
    <s v=""/>
    <s v=""/>
    <s v=""/>
    <s v=""/>
    <x v="355"/>
    <n v="3.4164404706904619E-5"/>
  </r>
  <r>
    <x v="356"/>
    <s v=""/>
    <s v=""/>
    <s v=""/>
    <s v=""/>
    <s v=""/>
    <s v=""/>
    <s v=""/>
    <s v=""/>
    <s v=""/>
    <n v="426675624"/>
    <x v="356"/>
    <n v="3.4016283999524277E-5"/>
  </r>
  <r>
    <x v="357"/>
    <n v="265503945"/>
    <n v="259214632"/>
    <n v="316975887"/>
    <n v="289285009"/>
    <n v="300815282"/>
    <n v="305836239"/>
    <n v="367606238"/>
    <n v="373592346"/>
    <n v="406657525"/>
    <n v="446263842"/>
    <x v="357"/>
    <n v="3.2935698001619674E-5"/>
  </r>
  <r>
    <x v="358"/>
    <s v=""/>
    <s v=""/>
    <s v=""/>
    <s v=""/>
    <s v=""/>
    <s v=""/>
    <n v="18200581"/>
    <n v="351917345"/>
    <n v="377777973"/>
    <n v="449605448"/>
    <x v="358"/>
    <n v="3.2721997015970272E-5"/>
  </r>
  <r>
    <x v="359"/>
    <s v=""/>
    <s v=""/>
    <s v=""/>
    <s v=""/>
    <s v=""/>
    <s v=""/>
    <n v="400192004"/>
    <n v="394440794"/>
    <n v="700306389"/>
    <n v="942573445"/>
    <x v="359"/>
    <n v="3.2634215423012341E-5"/>
  </r>
  <r>
    <x v="360"/>
    <s v=""/>
    <s v=""/>
    <s v=""/>
    <s v=""/>
    <s v=""/>
    <s v=""/>
    <s v=""/>
    <s v=""/>
    <s v=""/>
    <n v="215663880"/>
    <x v="360"/>
    <n v="3.2602718071973875E-5"/>
  </r>
  <r>
    <x v="361"/>
    <n v="659530076"/>
    <n v="603516707"/>
    <n v="681023457"/>
    <n v="623576015"/>
    <n v="667288320"/>
    <n v="782696813"/>
    <n v="879473437"/>
    <n v="712933361"/>
    <n v="627939359"/>
    <n v="551139589"/>
    <x v="361"/>
    <n v="3.2076387071131199E-5"/>
  </r>
  <r>
    <x v="362"/>
    <n v="80514878"/>
    <n v="84984838"/>
    <n v="69512837"/>
    <n v="62485882"/>
    <n v="53818716"/>
    <n v="87955287"/>
    <n v="379093650"/>
    <n v="340762812"/>
    <n v="409682358"/>
    <n v="450575930"/>
    <x v="362"/>
    <n v="3.1878973887037341E-5"/>
  </r>
  <r>
    <x v="363"/>
    <n v="120124525"/>
    <n v="130257533"/>
    <s v=""/>
    <s v=""/>
    <n v="156587093"/>
    <n v="202478792"/>
    <n v="400064388"/>
    <n v="337243476"/>
    <n v="446776426"/>
    <n v="446304239"/>
    <x v="363"/>
    <n v="3.1787980958962259E-5"/>
  </r>
  <r>
    <x v="364"/>
    <s v=""/>
    <s v=""/>
    <s v=""/>
    <s v=""/>
    <n v="65828826"/>
    <n v="420556822"/>
    <n v="958241073"/>
    <n v="657895782"/>
    <n v="613053890"/>
    <n v="595280656"/>
    <x v="364"/>
    <n v="3.1580360393268823E-5"/>
  </r>
  <r>
    <x v="365"/>
    <n v="309366950"/>
    <n v="512173822"/>
    <n v="545034024"/>
    <n v="513182538"/>
    <n v="585832302"/>
    <n v="456260819"/>
    <n v="447022220"/>
    <n v="433457360"/>
    <n v="475662480"/>
    <n v="448661766"/>
    <x v="365"/>
    <n v="3.1076122038244445E-5"/>
  </r>
  <r>
    <x v="366"/>
    <s v=""/>
    <s v=""/>
    <s v=""/>
    <s v=""/>
    <s v=""/>
    <s v=""/>
    <n v="130983543"/>
    <n v="240765737"/>
    <n v="332317706"/>
    <n v="386432481"/>
    <x v="366"/>
    <n v="3.1020758774447033E-5"/>
  </r>
  <r>
    <x v="367"/>
    <n v="417988308"/>
    <n v="888009315"/>
    <n v="1967388034"/>
    <n v="2482724629"/>
    <n v="2455574578"/>
    <n v="2153904266"/>
    <n v="2590132023"/>
    <n v="2358534632"/>
    <n v="2470649613"/>
    <n v="2435320818"/>
    <x v="367"/>
    <n v="3.036787368167523E-5"/>
  </r>
  <r>
    <x v="368"/>
    <n v="485419826"/>
    <n v="464521266"/>
    <n v="439580082"/>
    <n v="358227189"/>
    <n v="303028841"/>
    <n v="314964829"/>
    <n v="380517153"/>
    <n v="375930902"/>
    <n v="318405825"/>
    <n v="305461022"/>
    <x v="368"/>
    <n v="3.0344711283377306E-5"/>
  </r>
  <r>
    <x v="369"/>
    <s v=""/>
    <s v=""/>
    <s v=""/>
    <s v=""/>
    <n v="94212069"/>
    <n v="171292151"/>
    <n v="247068443"/>
    <n v="213455164"/>
    <n v="368050255"/>
    <n v="473013685"/>
    <x v="369"/>
    <n v="2.9363932291494025E-5"/>
  </r>
  <r>
    <x v="370"/>
    <s v=""/>
    <s v=""/>
    <s v=""/>
    <s v=""/>
    <s v=""/>
    <s v=""/>
    <n v="172215944"/>
    <n v="207795587"/>
    <n v="305100452"/>
    <n v="388806494"/>
    <x v="370"/>
    <n v="2.9167430137850408E-5"/>
  </r>
  <r>
    <x v="371"/>
    <n v="219378920"/>
    <n v="285564700"/>
    <n v="371701230"/>
    <n v="427504017"/>
    <n v="411650593"/>
    <n v="572351168"/>
    <n v="564369923"/>
    <n v="410024577"/>
    <n v="493560039"/>
    <n v="519362331"/>
    <x v="371"/>
    <n v="2.8917981060260795E-5"/>
  </r>
  <r>
    <x v="372"/>
    <s v=""/>
    <s v=""/>
    <s v=""/>
    <s v=""/>
    <s v=""/>
    <s v=""/>
    <s v=""/>
    <n v="312381213"/>
    <n v="365519966"/>
    <n v="388833142"/>
    <x v="372"/>
    <n v="2.8563036797171098E-5"/>
  </r>
  <r>
    <x v="373"/>
    <n v="2760041848"/>
    <n v="1680728376"/>
    <n v="1505912335"/>
    <n v="886473206"/>
    <n v="1005143261"/>
    <n v="1260262505"/>
    <n v="1385438058"/>
    <n v="916586002"/>
    <s v=""/>
    <n v="573213648"/>
    <x v="373"/>
    <n v="2.8083298361583898E-5"/>
  </r>
  <r>
    <x v="374"/>
    <s v=""/>
    <s v=""/>
    <s v=""/>
    <n v="143121076"/>
    <n v="135456221"/>
    <n v="145998933"/>
    <n v="189713346"/>
    <n v="241340406"/>
    <n v="341658726"/>
    <n v="367083371"/>
    <x v="374"/>
    <n v="2.7319760467316594E-5"/>
  </r>
  <r>
    <x v="375"/>
    <s v=""/>
    <s v=""/>
    <s v=""/>
    <s v=""/>
    <n v="173454279"/>
    <n v="187880246"/>
    <n v="235644924"/>
    <n v="280304872"/>
    <n v="414300598"/>
    <n v="442850964"/>
    <x v="375"/>
    <n v="2.6940998959507897E-5"/>
  </r>
  <r>
    <x v="376"/>
    <s v=""/>
    <s v=""/>
    <s v=""/>
    <s v=""/>
    <n v="117949645"/>
    <n v="195926491"/>
    <n v="275976846"/>
    <n v="285373794"/>
    <n v="305697551"/>
    <n v="340904206"/>
    <x v="376"/>
    <n v="2.6307944046816344E-5"/>
  </r>
  <r>
    <x v="377"/>
    <n v="107024163"/>
    <n v="230060733"/>
    <n v="249448151"/>
    <n v="61995122"/>
    <n v="69187087"/>
    <n v="101943587"/>
    <n v="120849321"/>
    <n v="113426492"/>
    <n v="302093305"/>
    <n v="331890921"/>
    <x v="377"/>
    <n v="2.5050369197929169E-5"/>
  </r>
  <r>
    <x v="378"/>
    <s v=""/>
    <s v=""/>
    <s v=""/>
    <s v=""/>
    <s v=""/>
    <s v=""/>
    <s v=""/>
    <s v=""/>
    <s v=""/>
    <s v=""/>
    <x v="378"/>
    <n v="2.4672331036965174E-5"/>
  </r>
  <r>
    <x v="379"/>
    <s v=""/>
    <s v=""/>
    <n v="90697275"/>
    <n v="84665457"/>
    <n v="106025504"/>
    <n v="179139787"/>
    <n v="229209947"/>
    <n v="135757899"/>
    <n v="182519180"/>
    <n v="299223565"/>
    <x v="379"/>
    <n v="2.4441910092675878E-5"/>
  </r>
  <r>
    <x v="380"/>
    <n v="783316888"/>
    <n v="716111093"/>
    <n v="645083468"/>
    <n v="558451996"/>
    <n v="708425964"/>
    <n v="897680570"/>
    <n v="1242534621"/>
    <n v="1459482546"/>
    <n v="1412883531"/>
    <n v="1166403524"/>
    <x v="380"/>
    <n v="2.4365137676257671E-5"/>
  </r>
  <r>
    <x v="381"/>
    <s v=""/>
    <s v=""/>
    <s v=""/>
    <s v=""/>
    <s v=""/>
    <n v="83040602"/>
    <n v="171795950"/>
    <n v="175514712"/>
    <n v="285193951"/>
    <n v="326943997"/>
    <x v="381"/>
    <n v="2.3299309364287861E-5"/>
  </r>
  <r>
    <x v="382"/>
    <s v=""/>
    <s v=""/>
    <s v=""/>
    <s v=""/>
    <s v=""/>
    <s v=""/>
    <s v=""/>
    <s v=""/>
    <s v=""/>
    <n v="152030464"/>
    <x v="382"/>
    <n v="2.3090350396015897E-5"/>
  </r>
  <r>
    <x v="383"/>
    <n v="65410816"/>
    <n v="64198140"/>
    <n v="48712657"/>
    <n v="35020157"/>
    <n v="32528718"/>
    <n v="66313294"/>
    <n v="185879087"/>
    <n v="236890723"/>
    <n v="255364959"/>
    <n v="233586586"/>
    <x v="383"/>
    <n v="2.1845797049532347E-5"/>
  </r>
  <r>
    <x v="384"/>
    <s v=""/>
    <n v="183336613"/>
    <n v="201374889"/>
    <n v="145572888"/>
    <n v="164304531"/>
    <n v="165821827"/>
    <n v="175220778"/>
    <n v="152218793"/>
    <n v="325608180"/>
    <n v="367395889"/>
    <x v="384"/>
    <n v="2.1324126910693896E-5"/>
  </r>
  <r>
    <x v="385"/>
    <n v="69663268"/>
    <n v="69117601"/>
    <n v="163427596"/>
    <n v="178827430"/>
    <n v="186821037"/>
    <n v="178416637"/>
    <n v="645264039"/>
    <n v="663366058"/>
    <n v="217778699"/>
    <n v="245902234"/>
    <x v="385"/>
    <n v="2.0741206689942742E-5"/>
  </r>
  <r>
    <x v="386"/>
    <s v=""/>
    <s v=""/>
    <s v=""/>
    <s v=""/>
    <s v=""/>
    <n v="33044732"/>
    <n v="115246610"/>
    <n v="73725606"/>
    <n v="97164775"/>
    <n v="184764873"/>
    <x v="386"/>
    <n v="2.0688148641688194E-5"/>
  </r>
  <r>
    <x v="387"/>
    <s v=""/>
    <s v=""/>
    <s v=""/>
    <s v=""/>
    <s v=""/>
    <s v=""/>
    <s v=""/>
    <n v="245791742"/>
    <n v="325502030"/>
    <n v="309829213"/>
    <x v="387"/>
    <n v="2.0300424974135132E-5"/>
  </r>
  <r>
    <x v="388"/>
    <n v="436372509"/>
    <n v="477109410"/>
    <n v="433817072"/>
    <n v="339766549"/>
    <n v="352537279"/>
    <n v="293509726"/>
    <n v="322988401"/>
    <n v="275967961"/>
    <n v="286170420"/>
    <n v="323433959"/>
    <x v="388"/>
    <n v="2.0175903795972964E-5"/>
  </r>
  <r>
    <x v="389"/>
    <s v=""/>
    <s v=""/>
    <s v=""/>
    <s v=""/>
    <s v=""/>
    <s v=""/>
    <s v=""/>
    <s v=""/>
    <s v=""/>
    <s v=""/>
    <x v="389"/>
    <n v="1.9863360287748497E-5"/>
  </r>
  <r>
    <x v="390"/>
    <s v=""/>
    <s v=""/>
    <s v=""/>
    <s v=""/>
    <s v=""/>
    <s v=""/>
    <s v=""/>
    <s v=""/>
    <n v="171681020"/>
    <n v="241124860"/>
    <x v="390"/>
    <n v="1.9575044586065151E-5"/>
  </r>
  <r>
    <x v="391"/>
    <s v=""/>
    <s v=""/>
    <s v=""/>
    <s v=""/>
    <s v=""/>
    <n v="409604810"/>
    <n v="548557789"/>
    <n v="313219467"/>
    <n v="342411141"/>
    <n v="334834145"/>
    <x v="391"/>
    <n v="1.9462141092341916E-5"/>
  </r>
  <r>
    <x v="392"/>
    <n v="588770874"/>
    <n v="522475327"/>
    <n v="555369155"/>
    <n v="344151226"/>
    <n v="313886451"/>
    <n v="224236537"/>
    <n v="229812380"/>
    <n v="218550167"/>
    <n v="227214665"/>
    <n v="231456414"/>
    <x v="392"/>
    <n v="1.9360434647643792E-5"/>
  </r>
  <r>
    <x v="393"/>
    <s v=""/>
    <n v="238510854"/>
    <n v="230242397"/>
    <n v="194098758"/>
    <n v="231132737"/>
    <n v="241297894"/>
    <n v="271576894"/>
    <n v="272061990"/>
    <n v="258219163"/>
    <n v="284249407"/>
    <x v="393"/>
    <n v="1.8978840068086641E-5"/>
  </r>
  <r>
    <x v="394"/>
    <n v="2357308070"/>
    <n v="1946378563"/>
    <n v="1733718718"/>
    <n v="602403457"/>
    <n v="583407364"/>
    <n v="532745949"/>
    <n v="752082952"/>
    <n v="606300265"/>
    <n v="469484216"/>
    <n v="534810060"/>
    <x v="394"/>
    <n v="1.8968365736306754E-5"/>
  </r>
  <r>
    <x v="395"/>
    <n v="37501486"/>
    <n v="169061482"/>
    <n v="200263452"/>
    <n v="181022098"/>
    <n v="135088179"/>
    <n v="228971070"/>
    <n v="271295100"/>
    <n v="212458056"/>
    <n v="235318957"/>
    <n v="246266091"/>
    <x v="395"/>
    <n v="1.8865584124573465E-5"/>
  </r>
  <r>
    <x v="396"/>
    <s v=""/>
    <s v=""/>
    <s v=""/>
    <s v=""/>
    <s v=""/>
    <n v="183284397"/>
    <n v="428619728"/>
    <n v="366468928"/>
    <n v="419154943"/>
    <n v="343442449"/>
    <x v="396"/>
    <n v="1.8621599403846822E-5"/>
  </r>
  <r>
    <x v="397"/>
    <s v=""/>
    <n v="88693824"/>
    <n v="121005536"/>
    <n v="122464062"/>
    <n v="134933592"/>
    <n v="135695352"/>
    <n v="197685885"/>
    <n v="213830619"/>
    <n v="226531690"/>
    <n v="254190716"/>
    <x v="397"/>
    <n v="1.7521165660036423E-5"/>
  </r>
  <r>
    <x v="398"/>
    <s v=""/>
    <s v=""/>
    <s v=""/>
    <s v=""/>
    <s v=""/>
    <s v=""/>
    <s v=""/>
    <s v=""/>
    <s v=""/>
    <s v=""/>
    <x v="398"/>
    <n v="1.7170899006297171E-5"/>
  </r>
  <r>
    <x v="399"/>
    <n v="409463143"/>
    <n v="463627631"/>
    <n v="92678073"/>
    <n v="73205653"/>
    <n v="77744954"/>
    <n v="56173822"/>
    <n v="121945525"/>
    <n v="173347211"/>
    <n v="235952446"/>
    <n v="270554879"/>
    <x v="399"/>
    <n v="1.6963601739937663E-5"/>
  </r>
  <r>
    <x v="400"/>
    <s v=""/>
    <s v=""/>
    <s v=""/>
    <s v=""/>
    <s v=""/>
    <s v=""/>
    <s v=""/>
    <s v=""/>
    <s v=""/>
    <s v=""/>
    <x v="400"/>
    <n v="1.6870549580837276E-5"/>
  </r>
  <r>
    <x v="401"/>
    <s v=""/>
    <s v=""/>
    <s v=""/>
    <s v=""/>
    <s v=""/>
    <s v=""/>
    <s v=""/>
    <s v=""/>
    <n v="149177182"/>
    <n v="205509599"/>
    <x v="401"/>
    <n v="1.67986043666064E-5"/>
  </r>
  <r>
    <x v="402"/>
    <s v=""/>
    <s v=""/>
    <s v=""/>
    <s v=""/>
    <s v=""/>
    <s v=""/>
    <n v="76610758"/>
    <n v="78970337"/>
    <n v="113263197"/>
    <n v="143377239"/>
    <x v="402"/>
    <n v="1.6734436342935087E-5"/>
  </r>
  <r>
    <x v="403"/>
    <s v=""/>
    <s v=""/>
    <n v="4909086"/>
    <n v="76815959"/>
    <n v="312681088"/>
    <n v="311289757"/>
    <n v="690604524"/>
    <n v="542768466"/>
    <n v="557697840"/>
    <n v="634395416"/>
    <x v="403"/>
    <n v="1.6541632897367526E-5"/>
  </r>
  <r>
    <x v="404"/>
    <n v="482622613"/>
    <n v="426398475"/>
    <n v="383218676"/>
    <n v="318620554"/>
    <n v="301816188"/>
    <n v="271371343"/>
    <n v="285083334"/>
    <n v="261923276"/>
    <n v="257384143"/>
    <n v="258550587"/>
    <x v="404"/>
    <n v="1.6482437513363855E-5"/>
  </r>
  <r>
    <x v="405"/>
    <s v=""/>
    <s v=""/>
    <s v=""/>
    <s v=""/>
    <s v=""/>
    <s v=""/>
    <n v="24938595"/>
    <n v="61449836"/>
    <n v="111747067"/>
    <n v="171300471"/>
    <x v="405"/>
    <n v="1.601042533373814E-5"/>
  </r>
  <r>
    <x v="406"/>
    <n v="299305632"/>
    <n v="283370697"/>
    <n v="260705003"/>
    <n v="207367741"/>
    <n v="208128789"/>
    <n v="221069457"/>
    <n v="238632078"/>
    <n v="226023468"/>
    <n v="225932255"/>
    <n v="228141046"/>
    <x v="406"/>
    <n v="1.4735656941480822E-5"/>
  </r>
  <r>
    <x v="407"/>
    <s v=""/>
    <s v=""/>
    <s v=""/>
    <s v=""/>
    <s v=""/>
    <s v=""/>
    <s v=""/>
    <n v="71199133"/>
    <n v="56582885"/>
    <n v="180061277"/>
    <x v="407"/>
    <n v="1.4327315653775547E-5"/>
  </r>
  <r>
    <x v="408"/>
    <s v=""/>
    <s v=""/>
    <s v=""/>
    <s v=""/>
    <n v="1051959"/>
    <n v="81600973"/>
    <n v="89706268"/>
    <n v="45637882"/>
    <n v="9612769"/>
    <n v="171700910"/>
    <x v="408"/>
    <n v="1.4017365465816843E-5"/>
  </r>
  <r>
    <x v="409"/>
    <s v=""/>
    <s v=""/>
    <s v=""/>
    <s v=""/>
    <s v=""/>
    <s v=""/>
    <s v=""/>
    <s v=""/>
    <s v=""/>
    <s v=""/>
    <x v="409"/>
    <n v="1.3879382317453543E-5"/>
  </r>
  <r>
    <x v="410"/>
    <s v=""/>
    <s v=""/>
    <s v=""/>
    <n v="44519838"/>
    <n v="65619852"/>
    <n v="63793445"/>
    <n v="96942164"/>
    <n v="133852822"/>
    <n v="158489213"/>
    <n v="182871068"/>
    <x v="410"/>
    <n v="1.3758108361578992E-5"/>
  </r>
  <r>
    <x v="411"/>
    <n v="468562477"/>
    <n v="465476812"/>
    <n v="346109933"/>
    <n v="90941323"/>
    <n v="92413089"/>
    <n v="89853226"/>
    <n v="200164121"/>
    <n v="209386595"/>
    <n v="199273746"/>
    <n v="171602182"/>
    <x v="411"/>
    <n v="1.342681764734301E-5"/>
  </r>
  <r>
    <x v="412"/>
    <n v="5094923"/>
    <n v="31973989"/>
    <n v="162186179"/>
    <n v="95781350"/>
    <n v="121796688"/>
    <n v="66889654"/>
    <n v="95388810"/>
    <n v="115173679"/>
    <n v="122385114"/>
    <n v="155955358"/>
    <x v="412"/>
    <n v="1.3025305058577884E-5"/>
  </r>
  <r>
    <x v="413"/>
    <s v=""/>
    <s v=""/>
    <s v=""/>
    <s v=""/>
    <n v="70634204"/>
    <n v="101425815"/>
    <n v="130006944"/>
    <n v="105622725"/>
    <n v="135314159"/>
    <n v="158503018"/>
    <x v="413"/>
    <n v="1.2705561135879181E-5"/>
  </r>
  <r>
    <x v="414"/>
    <n v="41994400"/>
    <n v="85132619"/>
    <n v="102718515"/>
    <n v="102370079"/>
    <n v="106327135"/>
    <n v="97328441"/>
    <n v="152844721"/>
    <n v="151088378"/>
    <n v="152780397"/>
    <n v="169581951"/>
    <x v="414"/>
    <n v="1.1502265443441608E-5"/>
  </r>
  <r>
    <x v="415"/>
    <s v=""/>
    <n v="51130200"/>
    <n v="58194274"/>
    <n v="56051276"/>
    <n v="61678749"/>
    <n v="75581291"/>
    <n v="130036655"/>
    <n v="116743314"/>
    <n v="161501370"/>
    <n v="184990452"/>
    <x v="415"/>
    <n v="1.0960045744154936E-5"/>
  </r>
  <r>
    <x v="416"/>
    <s v=""/>
    <s v=""/>
    <s v=""/>
    <s v=""/>
    <s v=""/>
    <s v=""/>
    <s v=""/>
    <s v=""/>
    <s v=""/>
    <s v=""/>
    <x v="416"/>
    <n v="1.0481603527980981E-5"/>
  </r>
  <r>
    <x v="417"/>
    <s v=""/>
    <s v=""/>
    <s v=""/>
    <s v=""/>
    <n v="1989855"/>
    <n v="57373703"/>
    <n v="80679674"/>
    <n v="32601794"/>
    <n v="37035142"/>
    <n v="28573604"/>
    <x v="417"/>
    <n v="8.8861341588525903E-6"/>
  </r>
  <r>
    <x v="418"/>
    <s v=""/>
    <s v=""/>
    <s v=""/>
    <n v="20948552"/>
    <n v="33297942"/>
    <n v="32528342"/>
    <n v="49642449"/>
    <n v="76810389"/>
    <n v="97520553"/>
    <n v="118246686"/>
    <x v="418"/>
    <n v="8.7980437473488097E-6"/>
  </r>
  <r>
    <x v="419"/>
    <s v=""/>
    <s v=""/>
    <s v=""/>
    <s v=""/>
    <s v=""/>
    <s v=""/>
    <s v=""/>
    <s v=""/>
    <s v=""/>
    <s v=""/>
    <x v="419"/>
    <n v="8.3818485209071289E-6"/>
  </r>
  <r>
    <x v="420"/>
    <s v=""/>
    <s v=""/>
    <n v="46978434"/>
    <n v="49450490"/>
    <n v="281622567"/>
    <n v="369988054"/>
    <n v="429156163"/>
    <n v="357969733"/>
    <n v="111355093"/>
    <n v="127532137"/>
    <x v="420"/>
    <n v="8.3140942356272212E-6"/>
  </r>
  <r>
    <x v="421"/>
    <s v=""/>
    <s v=""/>
    <s v=""/>
    <s v=""/>
    <s v=""/>
    <s v=""/>
    <s v=""/>
    <n v="58810950"/>
    <n v="80464039"/>
    <n v="122644687"/>
    <x v="421"/>
    <n v="8.2994921237243955E-6"/>
  </r>
  <r>
    <x v="422"/>
    <s v=""/>
    <n v="153534634"/>
    <n v="177342811"/>
    <n v="154686800"/>
    <n v="144004915"/>
    <n v="128673983"/>
    <n v="143984917"/>
    <n v="129293039"/>
    <n v="133171295"/>
    <n v="120438628"/>
    <x v="422"/>
    <n v="8.1394175887417563E-6"/>
  </r>
  <r>
    <x v="423"/>
    <n v="152184882"/>
    <n v="33407712"/>
    <n v="50551255"/>
    <n v="51091775"/>
    <n v="51451586"/>
    <n v="51005481"/>
    <n v="65134182"/>
    <n v="66278917"/>
    <n v="74521414"/>
    <n v="89311089"/>
    <x v="423"/>
    <n v="8.0137909598093486E-6"/>
  </r>
  <r>
    <x v="424"/>
    <n v="259965020"/>
    <n v="192775939"/>
    <n v="47662933"/>
    <n v="75985815"/>
    <n v="89460397"/>
    <n v="111643020"/>
    <n v="126653389"/>
    <n v="101983967"/>
    <n v="120418429"/>
    <n v="134553427"/>
    <x v="424"/>
    <n v="7.9878421430845797E-6"/>
  </r>
  <r>
    <x v="425"/>
    <s v=""/>
    <s v=""/>
    <s v=""/>
    <s v=""/>
    <s v=""/>
    <s v=""/>
    <s v=""/>
    <n v="19332604"/>
    <n v="22222046"/>
    <n v="32355207"/>
    <x v="425"/>
    <n v="7.8231738614024794E-6"/>
  </r>
  <r>
    <x v="426"/>
    <s v=""/>
    <s v=""/>
    <s v=""/>
    <s v=""/>
    <s v=""/>
    <s v=""/>
    <s v=""/>
    <s v=""/>
    <s v=""/>
    <n v="69423680"/>
    <x v="426"/>
    <n v="7.7402352735788737E-6"/>
  </r>
  <r>
    <x v="427"/>
    <s v=""/>
    <s v=""/>
    <s v=""/>
    <s v=""/>
    <s v=""/>
    <s v=""/>
    <s v=""/>
    <n v="13763529"/>
    <n v="87197240"/>
    <n v="102365421"/>
    <x v="427"/>
    <n v="7.5215700219349386E-6"/>
  </r>
  <r>
    <x v="428"/>
    <s v=""/>
    <s v=""/>
    <s v=""/>
    <s v=""/>
    <s v=""/>
    <s v=""/>
    <s v=""/>
    <n v="1000042"/>
    <n v="23530060"/>
    <n v="93376495"/>
    <x v="428"/>
    <n v="7.2605781822447309E-6"/>
  </r>
  <r>
    <x v="429"/>
    <n v="233576498"/>
    <n v="216372307"/>
    <n v="188689995"/>
    <n v="156704387"/>
    <n v="152958102"/>
    <n v="141774710"/>
    <n v="139242000"/>
    <n v="134201189"/>
    <n v="142572684"/>
    <n v="138446573"/>
    <x v="429"/>
    <n v="7.2162309576213944E-6"/>
  </r>
  <r>
    <x v="430"/>
    <s v=""/>
    <n v="158164426"/>
    <n v="151066709"/>
    <n v="113055892"/>
    <n v="64513926"/>
    <n v="59288942"/>
    <n v="67373166"/>
    <n v="57164598"/>
    <n v="60711258"/>
    <n v="85073598"/>
    <x v="430"/>
    <n v="7.1217660402436717E-6"/>
  </r>
  <r>
    <x v="431"/>
    <s v=""/>
    <s v=""/>
    <n v="55604474"/>
    <n v="42453966"/>
    <n v="86382837"/>
    <n v="111127797"/>
    <n v="146307876"/>
    <n v="135712681"/>
    <n v="95111577"/>
    <n v="85659628"/>
    <x v="431"/>
    <n v="7.1117091329202561E-6"/>
  </r>
  <r>
    <x v="432"/>
    <s v=""/>
    <s v=""/>
    <s v=""/>
    <s v=""/>
    <n v="1707882"/>
    <n v="140497191"/>
    <n v="95983714"/>
    <n v="83870881"/>
    <n v="68608600"/>
    <n v="76939901"/>
    <x v="432"/>
    <n v="6.8056090087530455E-6"/>
  </r>
  <r>
    <x v="433"/>
    <s v=""/>
    <s v=""/>
    <s v=""/>
    <s v=""/>
    <s v=""/>
    <s v=""/>
    <s v=""/>
    <s v=""/>
    <s v=""/>
    <n v="81508008"/>
    <x v="433"/>
    <n v="5.6865726149721667E-6"/>
  </r>
  <r>
    <x v="434"/>
    <s v=""/>
    <s v=""/>
    <s v=""/>
    <s v=""/>
    <s v=""/>
    <s v=""/>
    <s v=""/>
    <s v=""/>
    <n v="38451615"/>
    <n v="64023516"/>
    <x v="434"/>
    <n v="5.5757711020790557E-6"/>
  </r>
  <r>
    <x v="435"/>
    <s v=""/>
    <s v=""/>
    <s v=""/>
    <s v=""/>
    <s v=""/>
    <s v=""/>
    <s v=""/>
    <s v=""/>
    <s v=""/>
    <n v="30000195"/>
    <x v="435"/>
    <n v="5.3086716437352672E-6"/>
  </r>
  <r>
    <x v="169"/>
    <s v=""/>
    <s v=""/>
    <s v=""/>
    <s v=""/>
    <s v=""/>
    <s v=""/>
    <s v=""/>
    <s v=""/>
    <s v=""/>
    <s v=""/>
    <x v="436"/>
    <n v="4.9897997792788816E-6"/>
  </r>
  <r>
    <x v="436"/>
    <s v=""/>
    <s v=""/>
    <s v=""/>
    <s v=""/>
    <s v=""/>
    <s v=""/>
    <n v="75939683"/>
    <n v="129140117"/>
    <n v="109670723"/>
    <n v="109668526"/>
    <x v="437"/>
    <n v="4.890123541069946E-6"/>
  </r>
  <r>
    <x v="437"/>
    <s v=""/>
    <s v=""/>
    <s v=""/>
    <s v=""/>
    <s v=""/>
    <n v="113749012"/>
    <n v="328898144"/>
    <n v="245280545"/>
    <n v="235013587"/>
    <n v="164235771"/>
    <x v="438"/>
    <n v="4.8167275407530287E-6"/>
  </r>
  <r>
    <x v="438"/>
    <s v=""/>
    <s v=""/>
    <s v=""/>
    <s v=""/>
    <s v=""/>
    <n v="33773826"/>
    <n v="88414032"/>
    <n v="61560995"/>
    <n v="70092012"/>
    <n v="75640009"/>
    <x v="439"/>
    <n v="4.0541303310715665E-6"/>
  </r>
  <r>
    <x v="439"/>
    <n v="17102522"/>
    <n v="17594393"/>
    <n v="15511467"/>
    <n v="11625012"/>
    <n v="33231638"/>
    <n v="27138521"/>
    <n v="35910621"/>
    <n v="33744340"/>
    <n v="47923253"/>
    <n v="63772400"/>
    <x v="440"/>
    <n v="3.8637675278954187E-6"/>
  </r>
  <r>
    <x v="440"/>
    <s v=""/>
    <s v=""/>
    <s v=""/>
    <s v=""/>
    <s v=""/>
    <n v="4044002"/>
    <n v="8817978"/>
    <n v="13167924"/>
    <n v="25149956"/>
    <n v="41786594"/>
    <x v="441"/>
    <n v="3.8261286857512499E-6"/>
  </r>
  <r>
    <x v="441"/>
    <n v="38281320"/>
    <n v="74976928"/>
    <n v="75570216"/>
    <n v="49095571"/>
    <n v="53360774"/>
    <n v="68076953"/>
    <n v="57807405"/>
    <n v="63674966"/>
    <n v="38852283"/>
    <n v="36869363"/>
    <x v="442"/>
    <n v="3.6676587480080675E-6"/>
  </r>
  <r>
    <x v="442"/>
    <s v=""/>
    <s v=""/>
    <s v=""/>
    <s v=""/>
    <s v=""/>
    <s v=""/>
    <s v=""/>
    <s v=""/>
    <s v=""/>
    <s v=""/>
    <x v="443"/>
    <n v="3.3095167491500251E-6"/>
  </r>
  <r>
    <x v="443"/>
    <s v=""/>
    <s v=""/>
    <s v=""/>
    <s v=""/>
    <s v=""/>
    <s v=""/>
    <s v=""/>
    <s v=""/>
    <s v=""/>
    <s v=""/>
    <x v="444"/>
    <n v="3.2907148939034845E-6"/>
  </r>
  <r>
    <x v="444"/>
    <s v=""/>
    <s v=""/>
    <s v=""/>
    <s v=""/>
    <s v=""/>
    <s v=""/>
    <s v=""/>
    <s v=""/>
    <s v=""/>
    <s v=""/>
    <x v="445"/>
    <n v="2.8646879678730491E-6"/>
  </r>
  <r>
    <x v="445"/>
    <s v=""/>
    <s v=""/>
    <s v=""/>
    <s v=""/>
    <s v=""/>
    <s v=""/>
    <n v="18507257"/>
    <n v="18559211"/>
    <n v="24909110"/>
    <n v="35214198"/>
    <x v="446"/>
    <n v="2.4942856523849426E-6"/>
  </r>
  <r>
    <x v="446"/>
    <s v=""/>
    <s v=""/>
    <s v=""/>
    <s v=""/>
    <s v=""/>
    <s v=""/>
    <s v=""/>
    <s v=""/>
    <s v=""/>
    <s v=""/>
    <x v="447"/>
    <n v="2.3561356601589503E-6"/>
  </r>
  <r>
    <x v="447"/>
    <s v=""/>
    <s v=""/>
    <s v=""/>
    <s v=""/>
    <s v=""/>
    <s v=""/>
    <s v=""/>
    <s v=""/>
    <n v="2394084"/>
    <n v="4924680"/>
    <x v="448"/>
    <n v="2.1320277728341678E-6"/>
  </r>
  <r>
    <x v="448"/>
    <s v=""/>
    <s v=""/>
    <s v=""/>
    <s v=""/>
    <s v=""/>
    <s v=""/>
    <s v=""/>
    <n v="4348235"/>
    <n v="4696074"/>
    <n v="17495642"/>
    <x v="449"/>
    <n v="1.1922128527584734E-6"/>
  </r>
  <r>
    <x v="449"/>
    <s v=""/>
    <s v=""/>
    <s v=""/>
    <s v=""/>
    <s v=""/>
    <s v=""/>
    <s v=""/>
    <s v=""/>
    <s v=""/>
    <s v=""/>
    <x v="450"/>
    <n v="1.0334181676025499E-6"/>
  </r>
  <r>
    <x v="450"/>
    <n v="62901849"/>
    <n v="71504534"/>
    <n v="56255146"/>
    <n v="20236994"/>
    <n v="48280146"/>
    <n v="38981435"/>
    <n v="34913843"/>
    <n v="16847677"/>
    <n v="16179000"/>
    <n v="15286325"/>
    <x v="451"/>
    <n v="9.9949018480443597E-7"/>
  </r>
  <r>
    <x v="451"/>
    <s v=""/>
    <s v=""/>
    <s v=""/>
    <n v="26110435"/>
    <n v="69372813"/>
    <n v="73368893"/>
    <n v="79654885"/>
    <n v="61398877"/>
    <n v="8524305"/>
    <n v="9087457"/>
    <x v="452"/>
    <n v="6.6309637788817264E-7"/>
  </r>
  <r>
    <x v="452"/>
    <s v=""/>
    <s v=""/>
    <s v=""/>
    <s v=""/>
    <s v=""/>
    <s v=""/>
    <s v=""/>
    <s v=""/>
    <n v="264121757"/>
    <n v="245073272"/>
    <x v="453"/>
    <n v="4.6237420779752651E-7"/>
  </r>
  <r>
    <x v="453"/>
    <s v=""/>
    <s v=""/>
    <s v=""/>
    <s v=""/>
    <s v=""/>
    <s v=""/>
    <n v="933596"/>
    <n v="4097484"/>
    <n v="5846897"/>
    <n v="4468038"/>
    <x v="454"/>
    <n v="2.9830895649914794E-7"/>
  </r>
  <r>
    <x v="454"/>
    <s v=""/>
    <s v=""/>
    <s v=""/>
    <s v=""/>
    <n v="1012239"/>
    <n v="1807731"/>
    <n v="3855422"/>
    <n v="90098391"/>
    <n v="2220169"/>
    <n v="2853879"/>
    <x v="455"/>
    <n v="2.9113492224319973E-7"/>
  </r>
  <r>
    <x v="455"/>
    <s v=""/>
    <s v=""/>
    <s v=""/>
    <s v=""/>
    <s v=""/>
    <s v=""/>
    <s v=""/>
    <s v=""/>
    <s v=""/>
    <s v=""/>
    <x v="456"/>
    <n v="6.0619789871420586E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210C0-0600-4EA9-8ECF-F4A196A0B608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4:F47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x="12"/>
        <item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3">
    <i>
      <x v="147"/>
    </i>
    <i>
      <x v="148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300ED-A589-4F7C-BE01-0FA65B4B33A9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F42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x="10"/>
        <item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3">
    <i>
      <x v="260"/>
    </i>
    <i>
      <x v="261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F4B17-030B-4E65-B3E9-7A50876D09F6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:F37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x="9"/>
        <item x="93"/>
        <item x="32"/>
        <item x="338"/>
        <item x="148"/>
        <item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7">
    <i>
      <x v="402"/>
    </i>
    <i>
      <x v="403"/>
    </i>
    <i>
      <x v="404"/>
    </i>
    <i>
      <x v="405"/>
    </i>
    <i>
      <x v="406"/>
    </i>
    <i>
      <x v="407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D73B7-97E2-4D9C-98CA-E64DA4F6FB5E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5:F28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x="26"/>
        <item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3">
    <i>
      <x v="165"/>
    </i>
    <i>
      <x v="166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DEB76-0917-4275-968C-4D535CCA0EFD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0:F23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x="7"/>
        <item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3">
    <i>
      <x v="112"/>
    </i>
    <i>
      <x v="113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7A0A0-1737-4A88-8C22-C98F52ADAE8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2:F18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x="56"/>
        <item x="84"/>
        <item x="11"/>
        <item x="5"/>
        <item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6">
    <i>
      <x v="265"/>
    </i>
    <i>
      <x v="266"/>
    </i>
    <i>
      <x v="267"/>
    </i>
    <i>
      <x v="268"/>
    </i>
    <i>
      <x v="269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BEF5-53C9-49DE-B9CF-73C961DCF8D1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0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x="58"/>
        <item x="163"/>
        <item x="182"/>
        <item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h="1" x="12"/>
        <item h="1"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x="83"/>
        <item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7">
    <i>
      <x v="23"/>
    </i>
    <i>
      <x v="24"/>
    </i>
    <i>
      <x v="25"/>
    </i>
    <i>
      <x v="26"/>
    </i>
    <i>
      <x v="289"/>
    </i>
    <i>
      <x v="290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F22D1-DB28-4D3C-B642-1BCA96A5550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axis="axisRow" showAll="0">
      <items count="457">
        <item h="1" x="169"/>
        <item h="1" x="49"/>
        <item h="1" x="50"/>
        <item h="1" x="165"/>
        <item h="1" x="170"/>
        <item h="1" x="54"/>
        <item h="1" x="131"/>
        <item h="1" x="305"/>
        <item h="1" x="278"/>
        <item h="1" x="57"/>
        <item h="1" x="339"/>
        <item h="1" x="139"/>
        <item h="1" x="174"/>
        <item h="1" x="124"/>
        <item h="1" x="266"/>
        <item h="1" x="238"/>
        <item h="1" x="228"/>
        <item h="1" x="385"/>
        <item h="1" x="172"/>
        <item h="1" x="86"/>
        <item h="1" x="102"/>
        <item h="1" x="181"/>
        <item h="1" x="151"/>
        <item h="1" x="58"/>
        <item h="1" x="163"/>
        <item h="1" x="182"/>
        <item h="1" x="4"/>
        <item h="1" x="2"/>
        <item h="1" x="335"/>
        <item h="1" x="373"/>
        <item h="1" x="281"/>
        <item h="1" x="372"/>
        <item h="1" x="110"/>
        <item h="1" x="244"/>
        <item h="1" x="132"/>
        <item h="1" x="39"/>
        <item h="1" x="245"/>
        <item h="1" x="438"/>
        <item h="1" x="55"/>
        <item h="1" x="114"/>
        <item h="1" x="87"/>
        <item h="1" x="255"/>
        <item h="1" x="324"/>
        <item h="1" x="24"/>
        <item h="1" x="225"/>
        <item h="1" x="118"/>
        <item h="1" x="34"/>
        <item h="1" x="136"/>
        <item h="1" x="219"/>
        <item h="1" x="260"/>
        <item h="1" x="176"/>
        <item h="1" x="261"/>
        <item h="1" x="303"/>
        <item h="1" x="393"/>
        <item h="1" x="391"/>
        <item h="1" x="427"/>
        <item h="1" x="265"/>
        <item h="1" x="99"/>
        <item h="1" x="25"/>
        <item h="1" x="340"/>
        <item h="1" x="29"/>
        <item h="1" x="410"/>
        <item h="1" x="357"/>
        <item h="1" x="237"/>
        <item h="1" x="92"/>
        <item h="1" x="364"/>
        <item h="1" x="409"/>
        <item h="1" x="294"/>
        <item h="1" x="440"/>
        <item h="1" x="27"/>
        <item h="1" x="0"/>
        <item h="1" x="399"/>
        <item h="1" x="236"/>
        <item h="1" x="300"/>
        <item h="1" x="362"/>
        <item h="1" x="253"/>
        <item h="1" x="142"/>
        <item h="1" x="388"/>
        <item h="1" x="66"/>
        <item h="1" x="90"/>
        <item h="1" x="153"/>
        <item h="1" x="329"/>
        <item h="1" x="352"/>
        <item h="1" x="297"/>
        <item h="1" x="320"/>
        <item h="1" x="166"/>
        <item h="1" x="201"/>
        <item h="1" x="396"/>
        <item h="1" x="276"/>
        <item h="1" x="180"/>
        <item h="1" x="243"/>
        <item h="1" x="100"/>
        <item h="1" x="160"/>
        <item h="1" x="77"/>
        <item h="1" x="185"/>
        <item h="1" x="191"/>
        <item h="1" x="82"/>
        <item h="1" x="254"/>
        <item h="1" x="311"/>
        <item h="1" x="308"/>
        <item h="1" x="164"/>
        <item h="1" x="69"/>
        <item h="1" x="414"/>
        <item h="1" x="75"/>
        <item h="1" x="441"/>
        <item h="1" x="411"/>
        <item h="1" x="424"/>
        <item h="1" x="451"/>
        <item h="1" x="59"/>
        <item h="1" x="426"/>
        <item h="1" x="232"/>
        <item h="1" x="186"/>
        <item h="1" x="7"/>
        <item h="1" x="63"/>
        <item h="1" x="371"/>
        <item h="1" x="439"/>
        <item h="1" x="108"/>
        <item h="1" x="247"/>
        <item h="1" x="74"/>
        <item h="1" x="223"/>
        <item h="1" x="387"/>
        <item h="1" x="299"/>
        <item h="1" x="143"/>
        <item h="1" x="404"/>
        <item h="1" x="293"/>
        <item h="1" x="454"/>
        <item h="1" x="248"/>
        <item h="1" x="28"/>
        <item h="1" x="17"/>
        <item h="1" x="347"/>
        <item h="1" x="264"/>
        <item h="1" x="296"/>
        <item h="1" x="317"/>
        <item h="1" x="417"/>
        <item h="1" x="419"/>
        <item h="1" x="171"/>
        <item h="1" x="326"/>
        <item h="1" x="314"/>
        <item h="1" x="91"/>
        <item h="1" x="398"/>
        <item h="1" x="152"/>
        <item h="1" x="259"/>
        <item h="1" x="38"/>
        <item h="1" x="384"/>
        <item h="1" x="215"/>
        <item h="1" x="123"/>
        <item h="1" x="354"/>
        <item x="12"/>
        <item x="16"/>
        <item h="1" x="202"/>
        <item h="1" x="204"/>
        <item h="1" x="356"/>
        <item h="1" x="392"/>
        <item h="1" x="203"/>
        <item h="1" x="220"/>
        <item h="1" x="448"/>
        <item h="1" x="94"/>
        <item h="1" x="141"/>
        <item h="1" x="67"/>
        <item h="1" x="47"/>
        <item h="1" x="179"/>
        <item h="1" x="429"/>
        <item h="1" x="3"/>
        <item h="1" x="271"/>
        <item h="1" x="360"/>
        <item h="1" x="26"/>
        <item h="1" x="8"/>
        <item h="1" x="159"/>
        <item h="1" x="285"/>
        <item h="1" x="435"/>
        <item h="1" x="304"/>
        <item h="1" x="282"/>
        <item h="1" x="112"/>
        <item h="1" x="106"/>
        <item h="1" x="408"/>
        <item h="1" x="6"/>
        <item h="1" x="1"/>
        <item h="1" x="41"/>
        <item h="1" x="267"/>
        <item h="1" x="85"/>
        <item h="1" x="121"/>
        <item h="1" x="137"/>
        <item h="1" x="252"/>
        <item h="1" x="154"/>
        <item h="1" x="363"/>
        <item h="1" x="196"/>
        <item h="1" x="23"/>
        <item h="1" x="73"/>
        <item h="1" x="301"/>
        <item h="1" x="349"/>
        <item h="1" x="312"/>
        <item h="1" x="273"/>
        <item h="1" x="95"/>
        <item h="1" x="249"/>
        <item h="1" x="365"/>
        <item h="1" x="374"/>
        <item h="1" x="407"/>
        <item h="1" x="211"/>
        <item h="1" x="115"/>
        <item h="1" x="422"/>
        <item h="1" x="291"/>
        <item h="1" x="375"/>
        <item h="1" x="242"/>
        <item h="1" x="20"/>
        <item h="1" x="307"/>
        <item h="1" x="382"/>
        <item h="1" x="125"/>
        <item h="1" x="133"/>
        <item h="1" x="437"/>
        <item h="1" x="184"/>
        <item h="1" x="81"/>
        <item h="1" x="289"/>
        <item h="1" x="433"/>
        <item h="1" x="418"/>
        <item h="1" x="155"/>
        <item h="1" x="72"/>
        <item h="1" x="101"/>
        <item h="1" x="436"/>
        <item h="1" x="432"/>
        <item h="1" x="117"/>
        <item h="1" x="280"/>
        <item h="1" x="341"/>
        <item h="1" x="415"/>
        <item h="1" x="224"/>
        <item h="1" x="40"/>
        <item h="1" x="377"/>
        <item h="1" x="450"/>
        <item h="1" x="15"/>
        <item h="1" x="442"/>
        <item h="1" x="130"/>
        <item h="1" x="78"/>
        <item h="1" x="187"/>
        <item h="1" x="421"/>
        <item h="1" x="97"/>
        <item h="1" x="367"/>
        <item h="1" x="403"/>
        <item h="1" x="430"/>
        <item h="1" x="149"/>
        <item h="1" x="173"/>
        <item h="1" x="162"/>
        <item h="1" x="342"/>
        <item h="1" x="145"/>
        <item h="1" x="412"/>
        <item h="1" x="355"/>
        <item h="1" x="214"/>
        <item h="1" x="144"/>
        <item h="1" x="175"/>
        <item h="1" x="344"/>
        <item h="1" x="113"/>
        <item h="1" x="68"/>
        <item h="1" x="257"/>
        <item h="1" x="135"/>
        <item h="1" x="48"/>
        <item h="1" x="328"/>
        <item h="1" x="368"/>
        <item h="1" x="275"/>
        <item h="1" x="406"/>
        <item h="1" x="217"/>
        <item h="1" x="431"/>
        <item h="1" x="350"/>
        <item h="1" x="10"/>
        <item h="1" x="31"/>
        <item h="1" x="283"/>
        <item h="1" x="150"/>
        <item h="1" x="111"/>
        <item h="1" x="56"/>
        <item h="1" x="84"/>
        <item h="1" x="11"/>
        <item h="1" x="5"/>
        <item h="1" x="400"/>
        <item h="1" x="241"/>
        <item h="1" x="455"/>
        <item h="1" x="359"/>
        <item h="1" x="333"/>
        <item h="1" x="210"/>
        <item h="1" x="353"/>
        <item h="1" x="390"/>
        <item h="1" x="313"/>
        <item h="1" x="88"/>
        <item h="1" x="119"/>
        <item h="1" x="216"/>
        <item h="1" x="234"/>
        <item h="1" x="279"/>
        <item h="1" x="18"/>
        <item h="1" x="395"/>
        <item h="1" x="221"/>
        <item h="1" x="268"/>
        <item h="1" x="129"/>
        <item h="1" x="351"/>
        <item h="1" x="83"/>
        <item h="1" x="51"/>
        <item h="1" x="269"/>
        <item h="1" x="306"/>
        <item h="1" x="274"/>
        <item h="1" x="425"/>
        <item h="1" x="177"/>
        <item h="1" x="240"/>
        <item h="1" x="343"/>
        <item h="1" x="445"/>
        <item h="1" x="256"/>
        <item h="1" x="45"/>
        <item h="1" x="270"/>
        <item h="1" x="96"/>
        <item h="1" x="358"/>
        <item h="1" x="295"/>
        <item h="1" x="318"/>
        <item h="1" x="213"/>
        <item h="1" x="188"/>
        <item h="1" x="369"/>
        <item h="1" x="222"/>
        <item h="1" x="272"/>
        <item h="1" x="168"/>
        <item h="1" x="389"/>
        <item h="1" x="71"/>
        <item h="1" x="423"/>
        <item h="1" x="194"/>
        <item h="1" x="288"/>
        <item h="1" x="302"/>
        <item h="1" x="189"/>
        <item h="1" x="235"/>
        <item h="1" x="128"/>
        <item h="1" x="157"/>
        <item h="1" x="46"/>
        <item h="1" x="140"/>
        <item h="1" x="37"/>
        <item h="1" x="233"/>
        <item h="1" x="230"/>
        <item h="1" x="52"/>
        <item h="1" x="35"/>
        <item h="1" x="209"/>
        <item h="1" x="366"/>
        <item h="1" x="401"/>
        <item h="1" x="190"/>
        <item h="1" x="98"/>
        <item h="1" x="323"/>
        <item h="1" x="226"/>
        <item h="1" x="292"/>
        <item h="1" x="14"/>
        <item h="1" x="43"/>
        <item h="1" x="376"/>
        <item h="1" x="104"/>
        <item h="1" x="199"/>
        <item h="1" x="402"/>
        <item h="1" x="79"/>
        <item h="1" x="212"/>
        <item h="1" x="309"/>
        <item h="1" x="62"/>
        <item h="1" x="379"/>
        <item h="1" x="277"/>
        <item h="1" x="322"/>
        <item h="1" x="380"/>
        <item h="1" x="443"/>
        <item h="1" x="413"/>
        <item h="1" x="198"/>
        <item h="1" x="325"/>
        <item h="1" x="287"/>
        <item h="1" x="383"/>
        <item h="1" x="397"/>
        <item h="1" x="161"/>
        <item h="1" x="310"/>
        <item h="1" x="330"/>
        <item h="1" x="134"/>
        <item h="1" x="60"/>
        <item h="1" x="321"/>
        <item h="1" x="208"/>
        <item h="1" x="231"/>
        <item h="1" x="386"/>
        <item h="1" x="227"/>
        <item h="1" x="205"/>
        <item h="1" x="30"/>
        <item h="1" x="44"/>
        <item h="1" x="394"/>
        <item h="1" x="19"/>
        <item h="1" x="33"/>
        <item h="1" x="195"/>
        <item h="1" x="284"/>
        <item h="1" x="80"/>
        <item h="1" x="147"/>
        <item h="1" x="76"/>
        <item h="1" x="378"/>
        <item h="1" x="36"/>
        <item h="1" x="178"/>
        <item h="1" x="13"/>
        <item h="1" x="183"/>
        <item h="1" x="89"/>
        <item h="1" x="21"/>
        <item h="1" x="70"/>
        <item h="1" x="138"/>
        <item h="1" x="447"/>
        <item h="1" x="286"/>
        <item h="1" x="370"/>
        <item h="1" x="246"/>
        <item h="1" x="146"/>
        <item h="1" x="346"/>
        <item h="1" x="361"/>
        <item h="1" x="105"/>
        <item h="1" x="122"/>
        <item h="1" x="193"/>
        <item h="1" x="207"/>
        <item h="1" x="332"/>
        <item h="1" x="434"/>
        <item h="1" x="453"/>
        <item h="1" x="9"/>
        <item h="1" x="93"/>
        <item h="1" x="32"/>
        <item h="1" x="338"/>
        <item h="1" x="148"/>
        <item h="1" x="107"/>
        <item h="1" x="218"/>
        <item h="1" x="345"/>
        <item h="1" x="381"/>
        <item h="1" x="239"/>
        <item h="1" x="405"/>
        <item h="1" x="327"/>
        <item h="1" x="290"/>
        <item h="1" x="167"/>
        <item h="1" x="156"/>
        <item h="1" x="61"/>
        <item h="1" x="444"/>
        <item h="1" x="316"/>
        <item h="1" x="251"/>
        <item h="1" x="53"/>
        <item h="1" x="42"/>
        <item h="1" x="206"/>
        <item h="1" x="22"/>
        <item h="1" x="428"/>
        <item h="1" x="116"/>
        <item h="1" x="452"/>
        <item h="1" x="416"/>
        <item h="1" x="200"/>
        <item h="1" x="192"/>
        <item h="1" x="197"/>
        <item h="1" x="337"/>
        <item h="1" x="298"/>
        <item h="1" x="64"/>
        <item h="1" x="420"/>
        <item h="1" x="258"/>
        <item h="1" x="103"/>
        <item h="1" x="262"/>
        <item h="1" x="319"/>
        <item h="1" x="446"/>
        <item h="1" x="336"/>
        <item h="1" x="65"/>
        <item h="1" x="120"/>
        <item h="1" x="127"/>
        <item h="1" x="126"/>
        <item h="1" x="158"/>
        <item h="1" x="315"/>
        <item h="1" x="109"/>
        <item h="1" x="449"/>
        <item h="1" x="348"/>
        <item h="1" x="250"/>
        <item h="1" x="334"/>
        <item h="1" x="229"/>
        <item h="1" x="263"/>
        <item h="1" x="3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>
      <items count="458"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9" showAll="0"/>
  </pivotFields>
  <rowFields count="1">
    <field x="0"/>
  </rowFields>
  <rowItems count="3">
    <i>
      <x v="147"/>
    </i>
    <i>
      <x v="148"/>
    </i>
    <i t="grand">
      <x/>
    </i>
  </rowItems>
  <colItems count="1">
    <i/>
  </colItems>
  <dataFields count="1">
    <dataField name="Sum of 2025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8D0E6-8094-4327-95CE-6E4F41CE67F0}" name="Table1" displayName="Table1" ref="O26:Z521" totalsRowShown="0" headerRowDxfId="15" dataDxfId="16">
  <autoFilter ref="O26:Z521" xr:uid="{0D68D0E6-8094-4327-95CE-6E4F41CE67F0}"/>
  <tableColumns count="12">
    <tableColumn id="1" xr3:uid="{46FDAAE2-55C4-40C5-8500-75125E7DD4C0}" name="Fund Family" dataDxfId="28"/>
    <tableColumn id="2" xr3:uid="{082FB73C-B552-459F-B778-9DF8ED4D77F3}" name="Estimated Net Flow 2015" dataDxfId="27"/>
    <tableColumn id="3" xr3:uid="{6053D8EF-E829-4D44-98CB-72A6E31CC039}" name="Estimated Net Flow 2016" dataDxfId="26"/>
    <tableColumn id="4" xr3:uid="{23C3269D-1D9E-4209-8DCD-8BD6CC278EC8}" name="Estimated Net Flow 2017" dataDxfId="25"/>
    <tableColumn id="5" xr3:uid="{808CFC7B-429B-442D-B0AD-23FFCC510B39}" name="Estimated Net Flow 2018" dataDxfId="24"/>
    <tableColumn id="6" xr3:uid="{36615DD4-3046-448B-BED6-5BC9E04CF708}" name="Estimated Net Flow 2019" dataDxfId="23"/>
    <tableColumn id="7" xr3:uid="{7E422890-6E70-4750-A761-541058EEDC03}" name="Estimated Net Flow 2020" dataDxfId="22"/>
    <tableColumn id="8" xr3:uid="{2986F788-1C78-48B4-A901-C7D53BF22DFE}" name="Estimated Net Flow 2021" dataDxfId="21"/>
    <tableColumn id="9" xr3:uid="{785D1D78-6E44-47D2-93ED-6B824F26CBBE}" name="Estimated Net Flow 2022" dataDxfId="20"/>
    <tableColumn id="10" xr3:uid="{8C9C400E-A1AA-477D-9F7F-EAF4969BD723}" name="Estimated Net Flow 2023" dataDxfId="19"/>
    <tableColumn id="11" xr3:uid="{6FA56787-F238-4F72-9F09-EBBC118A5799}" name="Estimated Net Flow 2024" dataDxfId="18"/>
    <tableColumn id="12" xr3:uid="{3DE2352A-7975-4FF8-BE22-8E7A335C99DF}" name="Estimated Net Flow 2025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44660-8D95-40B7-B27F-038C8B737D2E}" name="Table2" displayName="Table2" ref="A26:M483" totalsRowShown="0" headerRowDxfId="1" dataDxfId="2">
  <autoFilter ref="A26:M483" xr:uid="{70B44660-8D95-40B7-B27F-038C8B737D2E}"/>
  <sortState xmlns:xlrd2="http://schemas.microsoft.com/office/spreadsheetml/2017/richdata2" ref="A27:M483">
    <sortCondition descending="1" ref="L26:L483"/>
  </sortState>
  <tableColumns count="13">
    <tableColumn id="1" xr3:uid="{392D805A-5983-48A1-AA14-B70AA67E5B0F}" name="Fund Family" dataDxfId="14"/>
    <tableColumn id="2" xr3:uid="{B9D448E6-0F0F-43CE-9936-49A0E6577851}" name="2015" dataDxfId="13"/>
    <tableColumn id="3" xr3:uid="{91CD5E02-8B21-4E31-B0E1-A4E922676BA5}" name="2016" dataDxfId="12"/>
    <tableColumn id="4" xr3:uid="{ED9B1337-2A29-40E7-93B5-CCEB1E2250EC}" name="2017" dataDxfId="11"/>
    <tableColumn id="5" xr3:uid="{B98C1E61-C8C0-4E18-92C9-11C3F8935705}" name="2018" dataDxfId="10"/>
    <tableColumn id="6" xr3:uid="{7CA43123-293A-43A4-8F22-56C46E025B7F}" name="2019" dataDxfId="9"/>
    <tableColumn id="7" xr3:uid="{460268BB-FB4C-45D6-8463-DF90750BACF6}" name="2020" dataDxfId="8"/>
    <tableColumn id="8" xr3:uid="{555FF084-D576-4E92-90DD-5610AA6F6DDC}" name="2021" dataDxfId="7"/>
    <tableColumn id="9" xr3:uid="{5A87A6C8-EFC3-4C33-A8F6-3724DD87ED66}" name="2022" dataDxfId="6"/>
    <tableColumn id="10" xr3:uid="{B1E4B298-F2EF-4130-B3A6-910D81450345}" name="2023" dataDxfId="5"/>
    <tableColumn id="11" xr3:uid="{33959D58-54D3-4C82-8792-DBE9CF97A34A}" name="2024" dataDxfId="4"/>
    <tableColumn id="12" xr3:uid="{B89FBE3E-BA13-41D9-8BE1-5EF16FD2C95F}" name="2025" dataDxfId="3"/>
    <tableColumn id="13" xr3:uid="{E47E8FC9-DD31-4D86-B137-FD867883BB09}" name="% Market Share" dataDxfId="0" dataCellStyle="Percent">
      <calculatedColumnFormula>Table2[[#This Row],[2025]]/SUM(Table2[2025])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1E82-20FE-4C7F-9B5B-E0049C81D152}">
  <dimension ref="A1"/>
  <sheetViews>
    <sheetView workbookViewId="0">
      <selection activeCell="B8" sqref="B8"/>
    </sheetView>
  </sheetViews>
  <sheetFormatPr defaultRowHeight="14.5" x14ac:dyDescent="0.35"/>
  <cols>
    <col min="1" max="1" width="12.6328125" bestFit="1" customWidth="1"/>
    <col min="2" max="2" width="17.1796875" bestFit="1" customWidth="1"/>
    <col min="3" max="3" width="12.453125" bestFit="1" customWidth="1"/>
    <col min="4" max="6" width="13.54296875" bestFit="1" customWidth="1"/>
    <col min="7" max="8" width="14.54296875" bestFit="1" customWidth="1"/>
    <col min="9" max="9" width="13.54296875" bestFit="1" customWidth="1"/>
    <col min="10" max="10" width="18.36328125" bestFit="1" customWidth="1"/>
    <col min="11" max="11" width="14.54296875" bestFit="1" customWidth="1"/>
    <col min="12" max="12" width="19.36328125" bestFit="1" customWidth="1"/>
    <col min="13" max="13" width="10.7265625" bestFit="1" customWidth="1"/>
    <col min="14" max="14" width="15.9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CA2C-BD63-4181-AC83-E57128D51218}">
  <dimension ref="A3:F47"/>
  <sheetViews>
    <sheetView topLeftCell="A16" workbookViewId="0">
      <selection activeCell="E44" sqref="E44:F47"/>
    </sheetView>
  </sheetViews>
  <sheetFormatPr defaultRowHeight="14.5" x14ac:dyDescent="0.35"/>
  <cols>
    <col min="1" max="1" width="55.453125" bestFit="1" customWidth="1"/>
    <col min="2" max="2" width="14.54296875" bestFit="1" customWidth="1"/>
    <col min="3" max="4" width="8.90625" bestFit="1" customWidth="1"/>
    <col min="5" max="5" width="44.26953125" bestFit="1" customWidth="1"/>
    <col min="6" max="6" width="25.08984375" customWidth="1"/>
    <col min="7" max="25" width="9.90625" bestFit="1" customWidth="1"/>
    <col min="26" max="159" width="10.90625" bestFit="1" customWidth="1"/>
    <col min="160" max="352" width="12.453125" bestFit="1" customWidth="1"/>
    <col min="353" max="428" width="13.54296875" bestFit="1" customWidth="1"/>
    <col min="429" max="456" width="14.54296875" bestFit="1" customWidth="1"/>
    <col min="457" max="458" width="16.08984375" bestFit="1" customWidth="1"/>
    <col min="459" max="459" width="10.7265625" bestFit="1" customWidth="1"/>
  </cols>
  <sheetData>
    <row r="3" spans="1:6" x14ac:dyDescent="0.35">
      <c r="A3" s="9" t="s">
        <v>526</v>
      </c>
      <c r="B3" t="s">
        <v>525</v>
      </c>
      <c r="E3" s="9" t="s">
        <v>526</v>
      </c>
      <c r="F3" t="s">
        <v>525</v>
      </c>
    </row>
    <row r="4" spans="1:6" x14ac:dyDescent="0.35">
      <c r="A4" s="10" t="s">
        <v>280</v>
      </c>
      <c r="B4" s="8">
        <v>293553702356</v>
      </c>
      <c r="E4" s="10" t="s">
        <v>221</v>
      </c>
      <c r="F4" s="8">
        <v>35823084937</v>
      </c>
    </row>
    <row r="5" spans="1:6" x14ac:dyDescent="0.35">
      <c r="A5" s="10" t="s">
        <v>268</v>
      </c>
      <c r="B5" s="8">
        <v>207383623238</v>
      </c>
      <c r="E5" s="10" t="s">
        <v>201</v>
      </c>
      <c r="F5" s="8">
        <v>4624546369</v>
      </c>
    </row>
    <row r="6" spans="1:6" x14ac:dyDescent="0.35">
      <c r="A6" s="10" t="s">
        <v>527</v>
      </c>
      <c r="B6" s="8">
        <v>500937325594</v>
      </c>
      <c r="E6" s="10" t="s">
        <v>130</v>
      </c>
      <c r="F6" s="8">
        <v>3470393542</v>
      </c>
    </row>
    <row r="7" spans="1:6" x14ac:dyDescent="0.35">
      <c r="E7" s="10" t="s">
        <v>278</v>
      </c>
      <c r="F7" s="8">
        <v>476465851952</v>
      </c>
    </row>
    <row r="8" spans="1:6" x14ac:dyDescent="0.35">
      <c r="E8" s="10" t="s">
        <v>155</v>
      </c>
      <c r="F8" s="8">
        <v>20995834886</v>
      </c>
    </row>
    <row r="9" spans="1:6" x14ac:dyDescent="0.35">
      <c r="E9" s="10" t="s">
        <v>274</v>
      </c>
      <c r="F9" s="8">
        <v>49563966585</v>
      </c>
    </row>
    <row r="10" spans="1:6" x14ac:dyDescent="0.35">
      <c r="E10" s="10" t="s">
        <v>527</v>
      </c>
      <c r="F10" s="8">
        <v>590943678271</v>
      </c>
    </row>
    <row r="12" spans="1:6" x14ac:dyDescent="0.35">
      <c r="E12" s="9" t="s">
        <v>526</v>
      </c>
      <c r="F12" t="s">
        <v>525</v>
      </c>
    </row>
    <row r="13" spans="1:6" x14ac:dyDescent="0.35">
      <c r="E13" s="10" t="s">
        <v>223</v>
      </c>
      <c r="F13" s="8">
        <v>37923935499</v>
      </c>
    </row>
    <row r="14" spans="1:6" x14ac:dyDescent="0.35">
      <c r="E14" s="10" t="s">
        <v>192</v>
      </c>
      <c r="F14" s="8">
        <v>19250170336</v>
      </c>
    </row>
    <row r="15" spans="1:6" x14ac:dyDescent="0.35">
      <c r="E15" s="10" t="s">
        <v>271</v>
      </c>
      <c r="F15" s="8">
        <v>321460962687</v>
      </c>
    </row>
    <row r="16" spans="1:6" x14ac:dyDescent="0.35">
      <c r="E16" s="10" t="s">
        <v>275</v>
      </c>
      <c r="F16" s="8">
        <v>404939640344</v>
      </c>
    </row>
    <row r="17" spans="5:6" x14ac:dyDescent="0.35">
      <c r="E17" s="10" t="s">
        <v>496</v>
      </c>
      <c r="F17" s="8">
        <v>267956853</v>
      </c>
    </row>
    <row r="18" spans="5:6" x14ac:dyDescent="0.35">
      <c r="E18" s="10" t="s">
        <v>527</v>
      </c>
      <c r="F18" s="8">
        <v>783842665719</v>
      </c>
    </row>
    <row r="20" spans="5:6" x14ac:dyDescent="0.35">
      <c r="E20" s="9" t="s">
        <v>526</v>
      </c>
      <c r="F20" t="s">
        <v>525</v>
      </c>
    </row>
    <row r="21" spans="5:6" x14ac:dyDescent="0.35">
      <c r="E21" s="10" t="s">
        <v>279</v>
      </c>
      <c r="F21" s="8">
        <v>369124624143</v>
      </c>
    </row>
    <row r="22" spans="5:6" x14ac:dyDescent="0.35">
      <c r="E22" s="10" t="s">
        <v>252</v>
      </c>
      <c r="F22" s="8">
        <v>34680458373</v>
      </c>
    </row>
    <row r="23" spans="5:6" x14ac:dyDescent="0.35">
      <c r="E23" s="10" t="s">
        <v>527</v>
      </c>
      <c r="F23" s="8">
        <v>403805082516</v>
      </c>
    </row>
    <row r="25" spans="5:6" x14ac:dyDescent="0.35">
      <c r="E25" s="9" t="s">
        <v>526</v>
      </c>
      <c r="F25" t="s">
        <v>525</v>
      </c>
    </row>
    <row r="26" spans="5:6" x14ac:dyDescent="0.35">
      <c r="E26" s="10" t="s">
        <v>224</v>
      </c>
      <c r="F26" s="8">
        <v>119757560801</v>
      </c>
    </row>
    <row r="27" spans="5:6" x14ac:dyDescent="0.35">
      <c r="E27" s="10" t="s">
        <v>272</v>
      </c>
      <c r="F27" s="8">
        <v>368424977738</v>
      </c>
    </row>
    <row r="28" spans="5:6" x14ac:dyDescent="0.35">
      <c r="E28" s="10" t="s">
        <v>527</v>
      </c>
      <c r="F28" s="8">
        <v>488182538539</v>
      </c>
    </row>
    <row r="30" spans="5:6" x14ac:dyDescent="0.35">
      <c r="E30" s="9" t="s">
        <v>526</v>
      </c>
      <c r="F30" t="s">
        <v>525</v>
      </c>
    </row>
    <row r="31" spans="5:6" x14ac:dyDescent="0.35">
      <c r="E31" s="10" t="s">
        <v>273</v>
      </c>
      <c r="F31" s="8">
        <v>334323149472</v>
      </c>
    </row>
    <row r="32" spans="5:6" x14ac:dyDescent="0.35">
      <c r="E32" s="10" t="s">
        <v>442</v>
      </c>
      <c r="F32" s="8">
        <v>14665461869</v>
      </c>
    </row>
    <row r="33" spans="5:6" x14ac:dyDescent="0.35">
      <c r="E33" s="10" t="s">
        <v>262</v>
      </c>
      <c r="F33" s="8">
        <v>95026931425</v>
      </c>
    </row>
    <row r="34" spans="5:6" x14ac:dyDescent="0.35">
      <c r="E34" s="10" t="s">
        <v>198</v>
      </c>
      <c r="F34" s="8">
        <v>683128604</v>
      </c>
    </row>
    <row r="35" spans="5:6" x14ac:dyDescent="0.35">
      <c r="E35" s="10" t="s">
        <v>134</v>
      </c>
      <c r="F35" s="8">
        <v>5735199017</v>
      </c>
    </row>
    <row r="36" spans="5:6" x14ac:dyDescent="0.35">
      <c r="E36" s="10" t="s">
        <v>123</v>
      </c>
      <c r="F36" s="8">
        <v>9674819291</v>
      </c>
    </row>
    <row r="37" spans="5:6" x14ac:dyDescent="0.35">
      <c r="E37" s="10" t="s">
        <v>527</v>
      </c>
      <c r="F37" s="8">
        <v>460108689678</v>
      </c>
    </row>
    <row r="39" spans="5:6" x14ac:dyDescent="0.35">
      <c r="E39" s="9" t="s">
        <v>526</v>
      </c>
      <c r="F39" t="s">
        <v>525</v>
      </c>
    </row>
    <row r="40" spans="5:6" x14ac:dyDescent="0.35">
      <c r="E40" s="10" t="s">
        <v>276</v>
      </c>
      <c r="F40" s="8">
        <v>323518233716</v>
      </c>
    </row>
    <row r="41" spans="5:6" x14ac:dyDescent="0.35">
      <c r="E41" s="10" t="s">
        <v>253</v>
      </c>
      <c r="F41" s="8">
        <v>96559447953</v>
      </c>
    </row>
    <row r="42" spans="5:6" x14ac:dyDescent="0.35">
      <c r="E42" s="10" t="s">
        <v>527</v>
      </c>
      <c r="F42" s="8">
        <v>420077681669</v>
      </c>
    </row>
    <row r="44" spans="5:6" x14ac:dyDescent="0.35">
      <c r="E44" s="9" t="s">
        <v>526</v>
      </c>
      <c r="F44" t="s">
        <v>525</v>
      </c>
    </row>
    <row r="45" spans="5:6" x14ac:dyDescent="0.35">
      <c r="E45" s="10" t="s">
        <v>280</v>
      </c>
      <c r="F45" s="8">
        <v>293553702356</v>
      </c>
    </row>
    <row r="46" spans="5:6" x14ac:dyDescent="0.35">
      <c r="E46" s="10" t="s">
        <v>268</v>
      </c>
      <c r="F46" s="8">
        <v>207383623238</v>
      </c>
    </row>
    <row r="47" spans="5:6" x14ac:dyDescent="0.35">
      <c r="E47" s="10" t="s">
        <v>527</v>
      </c>
      <c r="F47" s="8">
        <v>500937325594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3"/>
  <sheetViews>
    <sheetView tabSelected="1" topLeftCell="A142" zoomScale="85" zoomScaleNormal="85" workbookViewId="0">
      <pane xSplit="1" topLeftCell="D1" activePane="topRight" state="frozen"/>
      <selection pane="topRight" activeCell="L170" sqref="L170"/>
    </sheetView>
  </sheetViews>
  <sheetFormatPr defaultRowHeight="14.5" x14ac:dyDescent="0.35"/>
  <cols>
    <col min="1" max="1" width="40" customWidth="1"/>
    <col min="2" max="12" width="24.7265625" bestFit="1" customWidth="1"/>
    <col min="13" max="14" width="18" customWidth="1"/>
    <col min="15" max="15" width="64.36328125" bestFit="1" customWidth="1"/>
    <col min="16" max="26" width="23.54296875" customWidth="1"/>
  </cols>
  <sheetData>
    <row r="1" spans="1:1" s="2" customFormat="1" ht="13" x14ac:dyDescent="0.3">
      <c r="A1" s="2" t="s">
        <v>0</v>
      </c>
    </row>
    <row r="2" spans="1:1" s="2" customFormat="1" ht="13" x14ac:dyDescent="0.3">
      <c r="A2" s="2" t="s">
        <v>1</v>
      </c>
    </row>
    <row r="3" spans="1:1" s="2" customFormat="1" ht="13" x14ac:dyDescent="0.3">
      <c r="A3" s="2" t="s">
        <v>2</v>
      </c>
    </row>
    <row r="4" spans="1:1" s="2" customFormat="1" ht="13" x14ac:dyDescent="0.3">
      <c r="A4" s="2" t="s">
        <v>3</v>
      </c>
    </row>
    <row r="5" spans="1:1" s="2" customFormat="1" ht="13" x14ac:dyDescent="0.3">
      <c r="A5" s="2" t="s">
        <v>4</v>
      </c>
    </row>
    <row r="6" spans="1:1" s="2" customFormat="1" ht="13" x14ac:dyDescent="0.3">
      <c r="A6" s="2" t="s">
        <v>5</v>
      </c>
    </row>
    <row r="7" spans="1:1" s="2" customFormat="1" ht="13" x14ac:dyDescent="0.3"/>
    <row r="8" spans="1:1" s="2" customFormat="1" ht="13" x14ac:dyDescent="0.3"/>
    <row r="9" spans="1:1" s="2" customFormat="1" ht="13" x14ac:dyDescent="0.3"/>
    <row r="10" spans="1:1" s="2" customFormat="1" ht="13" x14ac:dyDescent="0.3"/>
    <row r="11" spans="1:1" s="2" customFormat="1" ht="13" x14ac:dyDescent="0.3"/>
    <row r="12" spans="1:1" s="2" customFormat="1" ht="13" x14ac:dyDescent="0.3"/>
    <row r="13" spans="1:1" s="2" customFormat="1" ht="13" x14ac:dyDescent="0.3"/>
    <row r="14" spans="1:1" s="2" customFormat="1" ht="13" x14ac:dyDescent="0.3"/>
    <row r="15" spans="1:1" s="2" customFormat="1" ht="13" x14ac:dyDescent="0.3"/>
    <row r="16" spans="1:1" s="2" customFormat="1" ht="13" x14ac:dyDescent="0.3"/>
    <row r="17" spans="1:26" s="2" customFormat="1" ht="13" x14ac:dyDescent="0.3"/>
    <row r="18" spans="1:26" s="2" customFormat="1" ht="13" x14ac:dyDescent="0.3"/>
    <row r="19" spans="1:26" s="2" customFormat="1" ht="13" x14ac:dyDescent="0.3"/>
    <row r="20" spans="1:26" s="2" customFormat="1" ht="13" x14ac:dyDescent="0.3"/>
    <row r="21" spans="1:26" s="2" customFormat="1" ht="13" x14ac:dyDescent="0.3"/>
    <row r="22" spans="1:26" s="2" customFormat="1" ht="13" x14ac:dyDescent="0.3"/>
    <row r="23" spans="1:26" s="2" customFormat="1" ht="13" x14ac:dyDescent="0.3"/>
    <row r="24" spans="1:26" s="2" customFormat="1" ht="13" x14ac:dyDescent="0.3"/>
    <row r="25" spans="1:26" x14ac:dyDescent="0.35">
      <c r="B25" s="5" t="s">
        <v>512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26" s="3" customFormat="1" ht="13" x14ac:dyDescent="0.3">
      <c r="A26" s="3" t="s">
        <v>6</v>
      </c>
      <c r="B26" s="3" t="s">
        <v>513</v>
      </c>
      <c r="C26" s="3" t="s">
        <v>514</v>
      </c>
      <c r="D26" s="3" t="s">
        <v>515</v>
      </c>
      <c r="E26" s="3" t="s">
        <v>516</v>
      </c>
      <c r="F26" s="3" t="s">
        <v>517</v>
      </c>
      <c r="G26" s="3" t="s">
        <v>518</v>
      </c>
      <c r="H26" s="3" t="s">
        <v>519</v>
      </c>
      <c r="I26" s="3" t="s">
        <v>520</v>
      </c>
      <c r="J26" s="3" t="s">
        <v>521</v>
      </c>
      <c r="K26" s="3" t="s">
        <v>522</v>
      </c>
      <c r="L26" s="3" t="s">
        <v>523</v>
      </c>
      <c r="M26" s="3" t="s">
        <v>524</v>
      </c>
      <c r="O26" s="3" t="s">
        <v>6</v>
      </c>
      <c r="P26" s="3" t="s">
        <v>7</v>
      </c>
      <c r="Q26" s="3" t="s">
        <v>8</v>
      </c>
      <c r="R26" s="3" t="s">
        <v>9</v>
      </c>
      <c r="S26" s="3" t="s">
        <v>10</v>
      </c>
      <c r="T26" s="3" t="s">
        <v>11</v>
      </c>
      <c r="U26" s="3" t="s">
        <v>12</v>
      </c>
      <c r="V26" s="3" t="s">
        <v>13</v>
      </c>
      <c r="W26" s="3" t="s">
        <v>14</v>
      </c>
      <c r="X26" s="3" t="s">
        <v>15</v>
      </c>
      <c r="Y26" s="3" t="s">
        <v>16</v>
      </c>
      <c r="Z26" s="3" t="s">
        <v>17</v>
      </c>
    </row>
    <row r="27" spans="1:26" s="1" customFormat="1" ht="12.5" x14ac:dyDescent="0.25">
      <c r="A27" s="1" t="s">
        <v>281</v>
      </c>
      <c r="B27" s="4">
        <v>401019703919</v>
      </c>
      <c r="C27" s="4">
        <v>438049332289</v>
      </c>
      <c r="D27" s="4">
        <v>401151273431</v>
      </c>
      <c r="E27" s="4">
        <v>737664857508</v>
      </c>
      <c r="F27" s="4">
        <v>954126144285</v>
      </c>
      <c r="G27" s="4">
        <v>1140219834910</v>
      </c>
      <c r="H27" s="4">
        <v>1273604510260</v>
      </c>
      <c r="I27" s="4">
        <v>1350563145340</v>
      </c>
      <c r="J27" s="4">
        <v>1846265314783</v>
      </c>
      <c r="K27" s="4">
        <v>2336209738234</v>
      </c>
      <c r="L27" s="4">
        <v>2636945177093</v>
      </c>
      <c r="M27" s="6">
        <f>Table2[[#This Row],[2025]]/SUM(Table2[2025])</f>
        <v>0.16602193171785454</v>
      </c>
      <c r="N27" s="4"/>
      <c r="O27" s="1" t="s">
        <v>18</v>
      </c>
      <c r="P27" s="4">
        <v>951210</v>
      </c>
      <c r="Q27" s="4">
        <v>23469212</v>
      </c>
      <c r="R27" s="4">
        <v>47128596</v>
      </c>
      <c r="S27" s="4">
        <v>189563082</v>
      </c>
      <c r="T27" s="4">
        <v>2483370713</v>
      </c>
      <c r="U27" s="4">
        <v>29095822</v>
      </c>
      <c r="V27" s="4">
        <v>-17644596</v>
      </c>
      <c r="W27" s="4">
        <v>392148822</v>
      </c>
      <c r="X27" s="4">
        <v>-159522950</v>
      </c>
      <c r="Y27" s="4">
        <v>-232156004</v>
      </c>
      <c r="Z27" s="4">
        <v>-894841521</v>
      </c>
    </row>
    <row r="28" spans="1:26" s="1" customFormat="1" ht="12.5" x14ac:dyDescent="0.25">
      <c r="A28" s="1" t="s">
        <v>282</v>
      </c>
      <c r="B28" s="4">
        <v>796491678198</v>
      </c>
      <c r="C28" s="4">
        <v>691485630487</v>
      </c>
      <c r="D28" s="4">
        <v>760274965686</v>
      </c>
      <c r="E28" s="4">
        <v>844025016285</v>
      </c>
      <c r="F28" s="4">
        <v>1159972190290</v>
      </c>
      <c r="G28" s="4">
        <v>1159064290588</v>
      </c>
      <c r="H28" s="4">
        <v>1039735011705</v>
      </c>
      <c r="I28" s="4">
        <v>1419355844510</v>
      </c>
      <c r="J28" s="4">
        <v>1538614062333</v>
      </c>
      <c r="K28" s="4">
        <v>1531113495235</v>
      </c>
      <c r="L28" s="4">
        <v>1762524109631</v>
      </c>
      <c r="M28" s="6">
        <f>Table2[[#This Row],[2025]]/SUM(Table2[2025])</f>
        <v>0.11096842661811251</v>
      </c>
      <c r="N28" s="4"/>
      <c r="O28" s="1" t="s">
        <v>19</v>
      </c>
      <c r="P28" s="4">
        <v>21816</v>
      </c>
      <c r="Q28" s="4">
        <v>51936</v>
      </c>
      <c r="R28" s="4">
        <v>150813409</v>
      </c>
      <c r="S28" s="4">
        <v>747821599</v>
      </c>
      <c r="T28" s="4">
        <v>1183610252</v>
      </c>
      <c r="U28" s="4">
        <v>-286440838</v>
      </c>
      <c r="V28" s="4">
        <v>-52545533</v>
      </c>
      <c r="W28" s="4">
        <v>48786673</v>
      </c>
      <c r="X28" s="4">
        <v>-14362366</v>
      </c>
      <c r="Y28" s="4">
        <v>689854748</v>
      </c>
      <c r="Z28" s="4">
        <v>-196303373</v>
      </c>
    </row>
    <row r="29" spans="1:26" s="1" customFormat="1" ht="12.5" x14ac:dyDescent="0.25">
      <c r="A29" s="1" t="s">
        <v>277</v>
      </c>
      <c r="B29" s="4">
        <v>193318080565</v>
      </c>
      <c r="C29" s="4">
        <v>178251663997</v>
      </c>
      <c r="D29" s="4">
        <v>266280948000</v>
      </c>
      <c r="E29" s="4">
        <v>425339096920</v>
      </c>
      <c r="F29" s="4">
        <v>409085020820</v>
      </c>
      <c r="G29" s="4">
        <v>456021202426</v>
      </c>
      <c r="H29" s="4">
        <v>741267742933</v>
      </c>
      <c r="I29" s="4">
        <v>700371524155</v>
      </c>
      <c r="J29" s="4">
        <v>913454119789</v>
      </c>
      <c r="K29" s="4">
        <v>1007599401788</v>
      </c>
      <c r="L29" s="4">
        <v>976366250242</v>
      </c>
      <c r="M29" s="7">
        <f>Table2[[#This Row],[2025]]/SUM(Table2[2025])</f>
        <v>6.1471968525335069E-2</v>
      </c>
      <c r="O29" s="1" t="s">
        <v>20</v>
      </c>
      <c r="P29" s="4">
        <v>3827654</v>
      </c>
      <c r="Q29" s="4">
        <v>15910900</v>
      </c>
      <c r="R29" s="4">
        <v>77289168</v>
      </c>
      <c r="S29" s="4">
        <v>-28064226</v>
      </c>
      <c r="T29" s="4">
        <v>-35260819</v>
      </c>
      <c r="U29" s="4">
        <v>-34337363</v>
      </c>
      <c r="V29" s="1" t="s">
        <v>21</v>
      </c>
      <c r="W29" s="1" t="s">
        <v>21</v>
      </c>
      <c r="X29" s="1" t="s">
        <v>21</v>
      </c>
      <c r="Y29" s="1" t="s">
        <v>21</v>
      </c>
      <c r="Z29" s="1" t="s">
        <v>21</v>
      </c>
    </row>
    <row r="30" spans="1:26" s="1" customFormat="1" ht="12.5" x14ac:dyDescent="0.25">
      <c r="A30" s="1" t="s">
        <v>283</v>
      </c>
      <c r="B30" s="4">
        <v>1078794153439</v>
      </c>
      <c r="C30" s="4">
        <v>794244966369</v>
      </c>
      <c r="D30" s="4">
        <v>796227105613</v>
      </c>
      <c r="E30" s="4">
        <v>740737604633</v>
      </c>
      <c r="F30" s="4">
        <v>731131857804</v>
      </c>
      <c r="G30" s="4">
        <v>769554493784</v>
      </c>
      <c r="H30" s="4">
        <v>848984310207</v>
      </c>
      <c r="I30" s="4">
        <v>653021756567</v>
      </c>
      <c r="J30" s="4">
        <v>812143623253</v>
      </c>
      <c r="K30" s="4">
        <v>851166825259</v>
      </c>
      <c r="L30" s="4">
        <v>825827177985</v>
      </c>
      <c r="M30" s="6">
        <f>Table2[[#This Row],[2025]]/SUM(Table2[2025])</f>
        <v>5.199403633613682E-2</v>
      </c>
      <c r="N30" s="4"/>
      <c r="O30" s="1" t="s">
        <v>22</v>
      </c>
      <c r="P30" s="4">
        <v>3414226</v>
      </c>
      <c r="Q30" s="4">
        <v>25491461</v>
      </c>
      <c r="R30" s="4">
        <v>122533407</v>
      </c>
      <c r="S30" s="4">
        <v>-16276412</v>
      </c>
      <c r="T30" s="4">
        <v>26253249</v>
      </c>
      <c r="U30" s="4">
        <v>-15093572</v>
      </c>
      <c r="V30" s="4">
        <v>6929552</v>
      </c>
      <c r="W30" s="4">
        <v>25145760</v>
      </c>
      <c r="X30" s="4">
        <v>1441296</v>
      </c>
      <c r="Y30" s="4">
        <v>3005001</v>
      </c>
      <c r="Z30" s="4">
        <v>4593770</v>
      </c>
    </row>
    <row r="31" spans="1:26" s="1" customFormat="1" ht="12.5" x14ac:dyDescent="0.25">
      <c r="A31" s="1" t="s">
        <v>278</v>
      </c>
      <c r="B31" s="4">
        <v>227369877985</v>
      </c>
      <c r="C31" s="4">
        <v>252103441674</v>
      </c>
      <c r="D31" s="4">
        <v>285510835691</v>
      </c>
      <c r="E31" s="4">
        <v>288937479848</v>
      </c>
      <c r="F31" s="4">
        <v>296791336129</v>
      </c>
      <c r="G31" s="4">
        <v>286928269215</v>
      </c>
      <c r="H31" s="4">
        <v>322330416411</v>
      </c>
      <c r="I31" s="4">
        <v>334428245773</v>
      </c>
      <c r="J31" s="4">
        <v>371470253323</v>
      </c>
      <c r="K31" s="4">
        <v>397864622499</v>
      </c>
      <c r="L31" s="4">
        <v>476465851952</v>
      </c>
      <c r="M31" s="6">
        <f>Table2[[#This Row],[2025]]/SUM(Table2[2025])</f>
        <v>2.9998265351071612E-2</v>
      </c>
      <c r="N31" s="4"/>
      <c r="O31" s="1" t="s">
        <v>23</v>
      </c>
      <c r="P31" s="4">
        <v>498415</v>
      </c>
      <c r="Q31" s="4">
        <v>49687633</v>
      </c>
      <c r="R31" s="4">
        <v>2331999</v>
      </c>
      <c r="S31" s="4">
        <v>69060621</v>
      </c>
      <c r="T31" s="4">
        <v>218635057</v>
      </c>
      <c r="U31" s="4">
        <v>108195790</v>
      </c>
      <c r="V31" s="4">
        <v>592459661</v>
      </c>
      <c r="W31" s="4">
        <v>-92308560</v>
      </c>
      <c r="X31" s="4">
        <v>294498045</v>
      </c>
      <c r="Y31" s="4">
        <v>941050818</v>
      </c>
      <c r="Z31" s="4">
        <v>-159382869</v>
      </c>
    </row>
    <row r="32" spans="1:26" s="1" customFormat="1" ht="12.5" x14ac:dyDescent="0.25">
      <c r="A32" s="1" t="s">
        <v>275</v>
      </c>
      <c r="B32" s="4">
        <v>139570629011</v>
      </c>
      <c r="C32" s="4">
        <v>168100888478</v>
      </c>
      <c r="D32" s="4">
        <v>179157860597</v>
      </c>
      <c r="E32" s="4">
        <v>180869581665</v>
      </c>
      <c r="F32" s="4">
        <v>207748953651</v>
      </c>
      <c r="G32" s="4">
        <v>266312573275</v>
      </c>
      <c r="H32" s="4">
        <v>322946551589</v>
      </c>
      <c r="I32" s="4">
        <v>317063655453</v>
      </c>
      <c r="J32" s="4">
        <v>344716476892</v>
      </c>
      <c r="K32" s="4">
        <v>365561406823</v>
      </c>
      <c r="L32" s="4">
        <v>404939640344</v>
      </c>
      <c r="M32" s="6">
        <f>Table2[[#This Row],[2025]]/SUM(Table2[2025])</f>
        <v>2.5494978774324786E-2</v>
      </c>
      <c r="N32" s="4"/>
      <c r="O32" s="1" t="s">
        <v>24</v>
      </c>
      <c r="P32" s="4">
        <v>17606555</v>
      </c>
      <c r="Q32" s="4">
        <v>1483956</v>
      </c>
      <c r="R32" s="4">
        <v>-2674198</v>
      </c>
      <c r="S32" s="4">
        <v>-1431774</v>
      </c>
      <c r="T32" s="4">
        <v>-26755786</v>
      </c>
      <c r="U32" s="4">
        <v>-6749200</v>
      </c>
      <c r="V32" s="4">
        <v>831172</v>
      </c>
      <c r="W32" s="4">
        <v>3592461</v>
      </c>
      <c r="X32" s="4">
        <v>4221482</v>
      </c>
      <c r="Y32" s="4">
        <v>7978958</v>
      </c>
      <c r="Z32" s="4">
        <v>-1632307</v>
      </c>
    </row>
    <row r="33" spans="1:26" s="1" customFormat="1" ht="12.5" x14ac:dyDescent="0.25">
      <c r="A33" s="1" t="s">
        <v>259</v>
      </c>
      <c r="B33" s="4">
        <v>61220001699</v>
      </c>
      <c r="C33" s="4">
        <v>73276234257</v>
      </c>
      <c r="D33" s="4">
        <v>138664811841</v>
      </c>
      <c r="E33" s="4">
        <v>162197869445</v>
      </c>
      <c r="F33" s="4">
        <v>181508275607</v>
      </c>
      <c r="G33" s="4">
        <v>289548466633</v>
      </c>
      <c r="H33" s="4">
        <v>462144194376</v>
      </c>
      <c r="I33" s="4">
        <v>316082159842</v>
      </c>
      <c r="J33" s="4">
        <v>337947015834</v>
      </c>
      <c r="K33" s="4">
        <v>382139305554</v>
      </c>
      <c r="L33" s="4">
        <v>398524304655</v>
      </c>
      <c r="M33" s="6">
        <f>Table2[[#This Row],[2025]]/SUM(Table2[2025])</f>
        <v>2.5091069571752573E-2</v>
      </c>
      <c r="N33" s="4"/>
      <c r="O33" s="1" t="s">
        <v>25</v>
      </c>
      <c r="P33" s="4">
        <v>35874861</v>
      </c>
      <c r="Q33" s="4">
        <v>52238563</v>
      </c>
      <c r="R33" s="4">
        <v>49792923</v>
      </c>
      <c r="S33" s="4">
        <v>1265347</v>
      </c>
      <c r="T33" s="4">
        <v>-19587554</v>
      </c>
      <c r="U33" s="4">
        <v>-43799975</v>
      </c>
      <c r="V33" s="4">
        <v>42705718</v>
      </c>
      <c r="W33" s="4">
        <v>-24171084</v>
      </c>
      <c r="X33" s="4">
        <v>136270484</v>
      </c>
      <c r="Y33" s="4">
        <v>163617656</v>
      </c>
      <c r="Z33" s="4">
        <v>-14959848</v>
      </c>
    </row>
    <row r="34" spans="1:26" s="1" customFormat="1" ht="12.5" x14ac:dyDescent="0.25">
      <c r="A34" s="1" t="s">
        <v>279</v>
      </c>
      <c r="B34" s="4">
        <v>231589985932</v>
      </c>
      <c r="C34" s="4">
        <v>223911672284</v>
      </c>
      <c r="D34" s="4">
        <v>244769491993</v>
      </c>
      <c r="E34" s="4">
        <v>233272520227</v>
      </c>
      <c r="F34" s="4">
        <v>252765918859</v>
      </c>
      <c r="G34" s="4">
        <v>259207196290</v>
      </c>
      <c r="H34" s="4">
        <v>288118523385</v>
      </c>
      <c r="I34" s="4">
        <v>273253176117</v>
      </c>
      <c r="J34" s="4">
        <v>293950705838</v>
      </c>
      <c r="K34" s="4">
        <v>317338521279</v>
      </c>
      <c r="L34" s="4">
        <v>369124624143</v>
      </c>
      <c r="M34" s="6">
        <f>Table2[[#This Row],[2025]]/SUM(Table2[2025])</f>
        <v>2.3240067210045963E-2</v>
      </c>
      <c r="N34" s="4"/>
      <c r="O34" s="1" t="s">
        <v>26</v>
      </c>
      <c r="P34" s="4">
        <v>34018690</v>
      </c>
      <c r="Q34" s="4">
        <v>138011108</v>
      </c>
      <c r="R34" s="4">
        <v>26242994</v>
      </c>
      <c r="S34" s="4">
        <v>-4495661</v>
      </c>
      <c r="T34" s="4">
        <v>-68070232</v>
      </c>
      <c r="U34" s="4">
        <v>69544867</v>
      </c>
      <c r="V34" s="4">
        <v>-11607609</v>
      </c>
      <c r="W34" s="4">
        <v>-18989587</v>
      </c>
      <c r="X34" s="4">
        <v>-19504316</v>
      </c>
      <c r="Y34" s="4">
        <v>-4513128</v>
      </c>
      <c r="Z34" s="4">
        <v>22277698</v>
      </c>
    </row>
    <row r="35" spans="1:26" s="1" customFormat="1" ht="12.5" x14ac:dyDescent="0.25">
      <c r="A35" s="1" t="s">
        <v>272</v>
      </c>
      <c r="B35" s="4">
        <v>104090468987</v>
      </c>
      <c r="C35" s="4">
        <v>154138353708</v>
      </c>
      <c r="D35" s="4">
        <v>225592068215</v>
      </c>
      <c r="E35" s="4">
        <v>292316459614</v>
      </c>
      <c r="F35" s="4">
        <v>354746646095</v>
      </c>
      <c r="G35" s="4">
        <v>473490665545</v>
      </c>
      <c r="H35" s="4">
        <v>639200363463</v>
      </c>
      <c r="I35" s="4">
        <v>473173896280</v>
      </c>
      <c r="J35" s="4">
        <v>568543762863</v>
      </c>
      <c r="K35" s="4">
        <v>546475875937</v>
      </c>
      <c r="L35" s="4">
        <v>368424977738</v>
      </c>
      <c r="M35" s="6">
        <f>Table2[[#This Row],[2025]]/SUM(Table2[2025])</f>
        <v>2.3196017508638971E-2</v>
      </c>
      <c r="N35" s="4"/>
      <c r="O35" s="1" t="s">
        <v>27</v>
      </c>
      <c r="P35" s="4">
        <v>508158</v>
      </c>
      <c r="Q35" s="4">
        <v>35709772</v>
      </c>
      <c r="R35" s="4">
        <v>1619170</v>
      </c>
      <c r="S35" s="4">
        <v>-23927206</v>
      </c>
      <c r="T35" s="4">
        <v>5767700</v>
      </c>
      <c r="U35" s="4">
        <v>15546283</v>
      </c>
      <c r="V35" s="4">
        <v>-21359896</v>
      </c>
      <c r="W35" s="4">
        <v>6133612</v>
      </c>
      <c r="X35" s="4">
        <v>-24762185</v>
      </c>
      <c r="Y35" s="4">
        <v>-3832937</v>
      </c>
      <c r="Z35" s="4">
        <v>14146171</v>
      </c>
    </row>
    <row r="36" spans="1:26" s="1" customFormat="1" ht="12.5" x14ac:dyDescent="0.25">
      <c r="A36" s="1" t="s">
        <v>273</v>
      </c>
      <c r="B36" s="4">
        <v>123539150027</v>
      </c>
      <c r="C36" s="4">
        <v>131549406007</v>
      </c>
      <c r="D36" s="4">
        <v>143033511288</v>
      </c>
      <c r="E36" s="4">
        <v>165318271954</v>
      </c>
      <c r="F36" s="4">
        <v>179292012928</v>
      </c>
      <c r="G36" s="4">
        <v>210037902104</v>
      </c>
      <c r="H36" s="4">
        <v>274683443199</v>
      </c>
      <c r="I36" s="4">
        <v>261767166605</v>
      </c>
      <c r="J36" s="4">
        <v>268989800188</v>
      </c>
      <c r="K36" s="4">
        <v>301223518949</v>
      </c>
      <c r="L36" s="4">
        <v>334323149472</v>
      </c>
      <c r="M36" s="6">
        <f>Table2[[#This Row],[2025]]/SUM(Table2[2025])</f>
        <v>2.1048968167979819E-2</v>
      </c>
      <c r="N36" s="4"/>
      <c r="O36" s="1" t="s">
        <v>28</v>
      </c>
      <c r="P36" s="4">
        <v>26625716</v>
      </c>
      <c r="Q36" s="4">
        <v>40357690</v>
      </c>
      <c r="R36" s="4">
        <v>11009869</v>
      </c>
      <c r="S36" s="4">
        <v>3044932</v>
      </c>
      <c r="T36" s="4">
        <v>-1088447</v>
      </c>
      <c r="U36" s="4">
        <v>-5512145</v>
      </c>
      <c r="V36" s="4">
        <v>13953721</v>
      </c>
      <c r="W36" s="4">
        <v>-3106267</v>
      </c>
      <c r="X36" s="4">
        <v>-4067416</v>
      </c>
      <c r="Y36" s="4">
        <v>-4378188</v>
      </c>
      <c r="Z36" s="4">
        <v>-13747021</v>
      </c>
    </row>
    <row r="37" spans="1:26" s="1" customFormat="1" ht="12.5" x14ac:dyDescent="0.25">
      <c r="A37" s="1" t="s">
        <v>276</v>
      </c>
      <c r="B37" s="4">
        <v>143792346882</v>
      </c>
      <c r="C37" s="4">
        <v>164002427924</v>
      </c>
      <c r="D37" s="4">
        <v>192339200486</v>
      </c>
      <c r="E37" s="4">
        <v>183546627648</v>
      </c>
      <c r="F37" s="4">
        <v>206447749911</v>
      </c>
      <c r="G37" s="4">
        <v>239302390982</v>
      </c>
      <c r="H37" s="4">
        <v>267316177526</v>
      </c>
      <c r="I37" s="4">
        <v>251606106266</v>
      </c>
      <c r="J37" s="4">
        <v>283332170596</v>
      </c>
      <c r="K37" s="4">
        <v>295372126423</v>
      </c>
      <c r="L37" s="4">
        <v>323518233716</v>
      </c>
      <c r="M37" s="6">
        <f>Table2[[#This Row],[2025]]/SUM(Table2[2025])</f>
        <v>2.0368691231833057E-2</v>
      </c>
      <c r="N37" s="4"/>
      <c r="O37" s="1" t="s">
        <v>29</v>
      </c>
      <c r="P37" s="4">
        <v>44010310</v>
      </c>
      <c r="Q37" s="4">
        <v>679400178</v>
      </c>
      <c r="R37" s="4">
        <v>238979561</v>
      </c>
      <c r="S37" s="4">
        <v>19064825</v>
      </c>
      <c r="T37" s="4">
        <v>74055715</v>
      </c>
      <c r="U37" s="4">
        <v>13017072</v>
      </c>
      <c r="V37" s="4">
        <v>325494</v>
      </c>
      <c r="W37" s="4">
        <v>20965149</v>
      </c>
      <c r="X37" s="4">
        <v>21310194</v>
      </c>
      <c r="Y37" s="4">
        <v>101556080</v>
      </c>
      <c r="Z37" s="4">
        <v>140024797</v>
      </c>
    </row>
    <row r="38" spans="1:26" s="1" customFormat="1" ht="12.5" x14ac:dyDescent="0.25">
      <c r="A38" s="1" t="s">
        <v>271</v>
      </c>
      <c r="B38" s="4">
        <v>98113770088</v>
      </c>
      <c r="C38" s="4">
        <v>102000600381</v>
      </c>
      <c r="D38" s="4">
        <v>46862257053</v>
      </c>
      <c r="E38" s="4">
        <v>139932463243</v>
      </c>
      <c r="F38" s="4">
        <v>200618405242</v>
      </c>
      <c r="G38" s="4">
        <v>261909590611</v>
      </c>
      <c r="H38" s="4">
        <v>325373383611</v>
      </c>
      <c r="I38" s="4">
        <v>283106618211</v>
      </c>
      <c r="J38" s="4">
        <v>326133496859</v>
      </c>
      <c r="K38" s="4">
        <v>331414904426</v>
      </c>
      <c r="L38" s="4">
        <v>321460962687</v>
      </c>
      <c r="M38" s="6">
        <f>Table2[[#This Row],[2025]]/SUM(Table2[2025])</f>
        <v>2.023916555444363E-2</v>
      </c>
      <c r="N38" s="4"/>
      <c r="O38" s="1" t="s">
        <v>30</v>
      </c>
      <c r="P38" s="4">
        <v>-23039504</v>
      </c>
      <c r="Q38" s="4">
        <v>-20524258</v>
      </c>
      <c r="R38" s="4">
        <v>-1219289</v>
      </c>
      <c r="S38" s="4">
        <v>68340588</v>
      </c>
      <c r="T38" s="4">
        <v>34168976</v>
      </c>
      <c r="U38" s="4">
        <v>34232536</v>
      </c>
      <c r="V38" s="4">
        <v>3622969</v>
      </c>
      <c r="W38" s="4">
        <v>155541356</v>
      </c>
      <c r="X38" s="4">
        <v>19051908</v>
      </c>
      <c r="Y38" s="4">
        <v>75313536</v>
      </c>
      <c r="Z38" s="4">
        <v>104440901</v>
      </c>
    </row>
    <row r="39" spans="1:26" s="1" customFormat="1" ht="12.5" x14ac:dyDescent="0.25">
      <c r="A39" s="1" t="s">
        <v>280</v>
      </c>
      <c r="B39" s="4">
        <v>336559184999</v>
      </c>
      <c r="C39" s="4">
        <v>270959291477</v>
      </c>
      <c r="D39" s="4">
        <v>271752740225</v>
      </c>
      <c r="E39" s="4">
        <v>254788541772</v>
      </c>
      <c r="F39" s="4">
        <v>270605649679</v>
      </c>
      <c r="G39" s="4">
        <v>277913105867</v>
      </c>
      <c r="H39" s="4">
        <v>310930148287</v>
      </c>
      <c r="I39" s="4">
        <v>259020741136</v>
      </c>
      <c r="J39" s="4">
        <v>286767017397</v>
      </c>
      <c r="K39" s="4">
        <v>293158265678</v>
      </c>
      <c r="L39" s="4">
        <v>293553702356</v>
      </c>
      <c r="M39" s="6">
        <f>Table2[[#This Row],[2025]]/SUM(Table2[2025])</f>
        <v>1.8482125890003816E-2</v>
      </c>
      <c r="N39" s="4"/>
      <c r="O39" s="1" t="s">
        <v>31</v>
      </c>
      <c r="P39" s="4">
        <v>55521361</v>
      </c>
      <c r="Q39" s="4">
        <v>451298378</v>
      </c>
      <c r="R39" s="4">
        <v>-564489841</v>
      </c>
      <c r="S39" s="4">
        <v>109965872</v>
      </c>
      <c r="T39" s="4">
        <v>9492626</v>
      </c>
      <c r="U39" s="4">
        <v>8669943</v>
      </c>
      <c r="V39" s="4">
        <v>8698155</v>
      </c>
      <c r="W39" s="4">
        <v>11967363</v>
      </c>
      <c r="X39" s="4">
        <v>28658310</v>
      </c>
      <c r="Y39" s="4">
        <v>358283283</v>
      </c>
      <c r="Z39" s="4">
        <v>-578726267</v>
      </c>
    </row>
    <row r="40" spans="1:26" s="1" customFormat="1" ht="12.5" x14ac:dyDescent="0.25">
      <c r="A40" s="1" t="s">
        <v>255</v>
      </c>
      <c r="B40" s="4">
        <v>49524573842</v>
      </c>
      <c r="C40" s="4">
        <v>54729684975</v>
      </c>
      <c r="D40" s="4">
        <v>55476546618</v>
      </c>
      <c r="E40" s="4">
        <v>64089640944</v>
      </c>
      <c r="F40" s="4">
        <v>71670559572</v>
      </c>
      <c r="G40" s="4">
        <v>81717994227</v>
      </c>
      <c r="H40" s="4">
        <v>141325971873</v>
      </c>
      <c r="I40" s="4">
        <v>132736848198</v>
      </c>
      <c r="J40" s="4">
        <v>194121543607</v>
      </c>
      <c r="K40" s="4">
        <v>254355030564</v>
      </c>
      <c r="L40" s="4">
        <v>267600928302</v>
      </c>
      <c r="M40" s="6">
        <f>Table2[[#This Row],[2025]]/SUM(Table2[2025])</f>
        <v>1.6848140580293245E-2</v>
      </c>
      <c r="N40" s="4"/>
      <c r="O40" s="1" t="s">
        <v>32</v>
      </c>
      <c r="P40" s="4">
        <v>414402</v>
      </c>
      <c r="Q40" s="4">
        <v>10319237</v>
      </c>
      <c r="R40" s="4">
        <v>-15347958</v>
      </c>
      <c r="S40" s="4">
        <v>-31072726</v>
      </c>
      <c r="T40" s="4">
        <v>27361865</v>
      </c>
      <c r="U40" s="4">
        <v>-12830351</v>
      </c>
      <c r="V40" s="4">
        <v>-12620563</v>
      </c>
      <c r="W40" s="4">
        <v>-14865018</v>
      </c>
      <c r="X40" s="4">
        <v>-2535677</v>
      </c>
      <c r="Y40" s="4">
        <v>-2618140</v>
      </c>
      <c r="Z40" s="4">
        <v>-1820922</v>
      </c>
    </row>
    <row r="41" spans="1:26" s="1" customFormat="1" ht="12.5" x14ac:dyDescent="0.25">
      <c r="A41" s="1" t="s">
        <v>258</v>
      </c>
      <c r="B41" s="4">
        <v>58712345067</v>
      </c>
      <c r="C41" s="4">
        <v>66515016530</v>
      </c>
      <c r="D41" s="4">
        <v>82696778596</v>
      </c>
      <c r="E41" s="4">
        <v>92610330732</v>
      </c>
      <c r="F41" s="4">
        <v>98634548445</v>
      </c>
      <c r="G41" s="4">
        <v>100769114806</v>
      </c>
      <c r="H41" s="4">
        <v>130793609849</v>
      </c>
      <c r="I41" s="4">
        <v>138514321400</v>
      </c>
      <c r="J41" s="4">
        <v>164594052760</v>
      </c>
      <c r="K41" s="4">
        <v>191180288175</v>
      </c>
      <c r="L41" s="4">
        <v>237143147571</v>
      </c>
      <c r="M41" s="6">
        <f>Table2[[#This Row],[2025]]/SUM(Table2[2025])</f>
        <v>1.4930520283623298E-2</v>
      </c>
      <c r="N41" s="4"/>
      <c r="O41" s="1" t="s">
        <v>33</v>
      </c>
      <c r="P41" s="4">
        <v>26217600</v>
      </c>
      <c r="Q41" s="4">
        <v>1185893</v>
      </c>
      <c r="R41" s="4">
        <v>-15497595</v>
      </c>
      <c r="S41" s="4">
        <v>-9498492</v>
      </c>
      <c r="T41" s="4">
        <v>-4241133</v>
      </c>
      <c r="U41" s="4">
        <v>35034455</v>
      </c>
      <c r="V41" s="4">
        <v>112060083</v>
      </c>
      <c r="W41" s="4">
        <v>36226363</v>
      </c>
      <c r="X41" s="4">
        <v>25944105</v>
      </c>
      <c r="Y41" s="4">
        <v>-27638904</v>
      </c>
      <c r="Z41" s="4">
        <v>77856736</v>
      </c>
    </row>
    <row r="42" spans="1:26" s="1" customFormat="1" ht="12.5" x14ac:dyDescent="0.25">
      <c r="A42" s="1" t="s">
        <v>267</v>
      </c>
      <c r="B42" s="4">
        <v>79769372951</v>
      </c>
      <c r="C42" s="4">
        <v>89665029505</v>
      </c>
      <c r="D42" s="4">
        <v>126589471036</v>
      </c>
      <c r="E42" s="4">
        <v>123134555010</v>
      </c>
      <c r="F42" s="4">
        <v>131166478983</v>
      </c>
      <c r="G42" s="4">
        <v>120638009799</v>
      </c>
      <c r="H42" s="4">
        <v>141810750733</v>
      </c>
      <c r="I42" s="4">
        <v>159196691516</v>
      </c>
      <c r="J42" s="4">
        <v>185375803384</v>
      </c>
      <c r="K42" s="4">
        <v>184068020150</v>
      </c>
      <c r="L42" s="4">
        <v>207446952761</v>
      </c>
      <c r="M42" s="6">
        <f>Table2[[#This Row],[2025]]/SUM(Table2[2025])</f>
        <v>1.3060849397078338E-2</v>
      </c>
      <c r="N42" s="4"/>
      <c r="O42" s="1" t="s">
        <v>34</v>
      </c>
      <c r="P42" s="4">
        <v>-4327563</v>
      </c>
      <c r="Q42" s="4">
        <v>6520553</v>
      </c>
      <c r="R42" s="4">
        <v>2020374</v>
      </c>
      <c r="S42" s="4">
        <v>6806836</v>
      </c>
      <c r="T42" s="4">
        <v>281866940</v>
      </c>
      <c r="U42" s="4">
        <v>298353069</v>
      </c>
      <c r="V42" s="4">
        <v>231488065</v>
      </c>
      <c r="W42" s="4">
        <v>-26311391</v>
      </c>
      <c r="X42" s="4">
        <v>443804695</v>
      </c>
      <c r="Y42" s="4">
        <v>-327644433</v>
      </c>
      <c r="Z42" s="4">
        <v>-131501940</v>
      </c>
    </row>
    <row r="43" spans="1:26" s="1" customFormat="1" ht="12.5" x14ac:dyDescent="0.25">
      <c r="A43" s="1" t="s">
        <v>268</v>
      </c>
      <c r="B43" s="4">
        <v>80431772807</v>
      </c>
      <c r="C43" s="4">
        <v>88399977710</v>
      </c>
      <c r="D43" s="4">
        <v>90906992123</v>
      </c>
      <c r="E43" s="4">
        <v>125347467990</v>
      </c>
      <c r="F43" s="4">
        <v>138991779605</v>
      </c>
      <c r="G43" s="4">
        <v>168394640407</v>
      </c>
      <c r="H43" s="4">
        <v>196814322343</v>
      </c>
      <c r="I43" s="4">
        <v>151964660785</v>
      </c>
      <c r="J43" s="4">
        <v>191719021741</v>
      </c>
      <c r="K43" s="4">
        <v>215259496343</v>
      </c>
      <c r="L43" s="4">
        <v>207383623238</v>
      </c>
      <c r="M43" s="6">
        <f>Table2[[#This Row],[2025]]/SUM(Table2[2025])</f>
        <v>1.3056862173591643E-2</v>
      </c>
      <c r="N43" s="4"/>
      <c r="O43" s="1" t="s">
        <v>35</v>
      </c>
      <c r="P43" s="4">
        <v>71174109</v>
      </c>
      <c r="Q43" s="4">
        <v>5186810</v>
      </c>
      <c r="R43" s="4">
        <v>7054339</v>
      </c>
      <c r="S43" s="4">
        <v>31085023</v>
      </c>
      <c r="T43" s="4">
        <v>-2836042</v>
      </c>
      <c r="U43" s="4">
        <v>-23256999</v>
      </c>
      <c r="V43" s="4">
        <v>391974728</v>
      </c>
      <c r="W43" s="4">
        <v>3279088</v>
      </c>
      <c r="X43" s="4">
        <v>-436754127</v>
      </c>
      <c r="Y43" s="4">
        <v>1762597</v>
      </c>
      <c r="Z43" s="4">
        <v>-16765457</v>
      </c>
    </row>
    <row r="44" spans="1:26" s="1" customFormat="1" ht="12.5" x14ac:dyDescent="0.25">
      <c r="A44" s="1" t="s">
        <v>251</v>
      </c>
      <c r="B44" s="4">
        <v>36501618963</v>
      </c>
      <c r="C44" s="4">
        <v>41739511315</v>
      </c>
      <c r="D44" s="4">
        <v>55375324047</v>
      </c>
      <c r="E44" s="4">
        <v>84511906640</v>
      </c>
      <c r="F44" s="4">
        <v>116362540497</v>
      </c>
      <c r="G44" s="4">
        <v>103762597833</v>
      </c>
      <c r="H44" s="4">
        <v>162559468968</v>
      </c>
      <c r="I44" s="4">
        <v>143745956073</v>
      </c>
      <c r="J44" s="4">
        <v>173475625649</v>
      </c>
      <c r="K44" s="4">
        <v>192965356429</v>
      </c>
      <c r="L44" s="4">
        <v>195281079665</v>
      </c>
      <c r="M44" s="6">
        <f>Table2[[#This Row],[2025]]/SUM(Table2[2025])</f>
        <v>1.2294886657322463E-2</v>
      </c>
      <c r="N44" s="4"/>
      <c r="O44" s="1" t="s">
        <v>36</v>
      </c>
      <c r="P44" s="4">
        <v>7176469</v>
      </c>
      <c r="Q44" s="4">
        <v>74659763</v>
      </c>
      <c r="R44" s="4">
        <v>16210107</v>
      </c>
      <c r="S44" s="4">
        <v>27228081</v>
      </c>
      <c r="T44" s="4">
        <v>130354811</v>
      </c>
      <c r="U44" s="4">
        <v>51959190</v>
      </c>
      <c r="V44" s="4">
        <v>45886450</v>
      </c>
      <c r="W44" s="4">
        <v>-81962582</v>
      </c>
      <c r="X44" s="4">
        <v>-45839570</v>
      </c>
      <c r="Y44" s="4">
        <v>-20147785</v>
      </c>
      <c r="Z44" s="4">
        <v>70429781</v>
      </c>
    </row>
    <row r="45" spans="1:26" s="1" customFormat="1" ht="12.5" x14ac:dyDescent="0.25">
      <c r="A45" s="1" t="s">
        <v>264</v>
      </c>
      <c r="B45" s="4">
        <v>70862066699</v>
      </c>
      <c r="C45" s="4">
        <v>75043187889</v>
      </c>
      <c r="D45" s="4">
        <v>83457129565</v>
      </c>
      <c r="E45" s="4">
        <v>82498208474</v>
      </c>
      <c r="F45" s="4">
        <v>94367428643</v>
      </c>
      <c r="G45" s="4">
        <v>108808246302</v>
      </c>
      <c r="H45" s="4">
        <v>128402478786</v>
      </c>
      <c r="I45" s="4">
        <v>123218663389</v>
      </c>
      <c r="J45" s="4">
        <v>127050246368</v>
      </c>
      <c r="K45" s="4">
        <v>143860713718</v>
      </c>
      <c r="L45" s="4">
        <v>160256190662</v>
      </c>
      <c r="M45" s="6">
        <f>Table2[[#This Row],[2025]]/SUM(Table2[2025])</f>
        <v>1.0089721460489696E-2</v>
      </c>
      <c r="N45" s="4"/>
      <c r="O45" s="1" t="s">
        <v>37</v>
      </c>
      <c r="P45" s="4">
        <v>32225168</v>
      </c>
      <c r="Q45" s="4">
        <v>1426862</v>
      </c>
      <c r="R45" s="4">
        <v>-26645541</v>
      </c>
      <c r="S45" s="4">
        <v>88283330</v>
      </c>
      <c r="T45" s="4">
        <v>57820928</v>
      </c>
      <c r="U45" s="4">
        <v>39655846</v>
      </c>
      <c r="V45" s="4">
        <v>88239682</v>
      </c>
      <c r="W45" s="4">
        <v>70740338</v>
      </c>
      <c r="X45" s="4">
        <v>21896724</v>
      </c>
      <c r="Y45" s="4">
        <v>8854081</v>
      </c>
      <c r="Z45" s="4">
        <v>54826037</v>
      </c>
    </row>
    <row r="46" spans="1:26" s="1" customFormat="1" ht="12.5" x14ac:dyDescent="0.25">
      <c r="A46" s="1" t="s">
        <v>266</v>
      </c>
      <c r="B46" s="4">
        <v>72761865613</v>
      </c>
      <c r="C46" s="4">
        <v>85377851160</v>
      </c>
      <c r="D46" s="4">
        <v>99226054854</v>
      </c>
      <c r="E46" s="4">
        <v>103541167419</v>
      </c>
      <c r="F46" s="4">
        <v>112339249741</v>
      </c>
      <c r="G46" s="4">
        <v>115348642831</v>
      </c>
      <c r="H46" s="4">
        <v>137851292062</v>
      </c>
      <c r="I46" s="4">
        <v>131818687745</v>
      </c>
      <c r="J46" s="4">
        <v>128045355670</v>
      </c>
      <c r="K46" s="4">
        <v>135122985032</v>
      </c>
      <c r="L46" s="4">
        <v>158624365124</v>
      </c>
      <c r="M46" s="6">
        <f>Table2[[#This Row],[2025]]/SUM(Table2[2025])</f>
        <v>9.9869818091693936E-3</v>
      </c>
      <c r="N46" s="4"/>
      <c r="O46" s="1" t="s">
        <v>38</v>
      </c>
      <c r="P46" s="4">
        <v>-7623803</v>
      </c>
      <c r="Q46" s="4">
        <v>942110</v>
      </c>
      <c r="R46" s="4">
        <v>-19504982</v>
      </c>
      <c r="S46" s="4">
        <v>-7901895</v>
      </c>
      <c r="T46" s="4">
        <v>-12734816</v>
      </c>
      <c r="U46" s="4">
        <v>31205027</v>
      </c>
      <c r="V46" s="4">
        <v>-5843673</v>
      </c>
      <c r="W46" s="4">
        <v>-19476868</v>
      </c>
      <c r="X46" s="4">
        <v>19192170</v>
      </c>
      <c r="Y46" s="4">
        <v>-5272467</v>
      </c>
      <c r="Z46" s="4">
        <v>8551177</v>
      </c>
    </row>
    <row r="47" spans="1:26" s="1" customFormat="1" ht="12.5" x14ac:dyDescent="0.25">
      <c r="A47" s="1" t="s">
        <v>242</v>
      </c>
      <c r="B47" s="4">
        <v>19610940509</v>
      </c>
      <c r="C47" s="4">
        <v>21196920054</v>
      </c>
      <c r="D47" s="4">
        <v>27941462880</v>
      </c>
      <c r="E47" s="4">
        <v>32677200022</v>
      </c>
      <c r="F47" s="4">
        <v>41137514608</v>
      </c>
      <c r="G47" s="4">
        <v>53880782495</v>
      </c>
      <c r="H47" s="4">
        <v>81073416337</v>
      </c>
      <c r="I47" s="4">
        <v>83099128266</v>
      </c>
      <c r="J47" s="4">
        <v>107762141767</v>
      </c>
      <c r="K47" s="4">
        <v>125890107385</v>
      </c>
      <c r="L47" s="4">
        <v>153125431909</v>
      </c>
      <c r="M47" s="6">
        <f>Table2[[#This Row],[2025]]/SUM(Table2[2025])</f>
        <v>9.6407692588773124E-3</v>
      </c>
      <c r="N47" s="4"/>
      <c r="O47" s="1" t="s">
        <v>39</v>
      </c>
      <c r="P47" s="4">
        <v>77213563</v>
      </c>
      <c r="Q47" s="4">
        <v>-30607222</v>
      </c>
      <c r="R47" s="4">
        <v>28006681</v>
      </c>
      <c r="S47" s="4">
        <v>109181428</v>
      </c>
      <c r="T47" s="4">
        <v>9977540</v>
      </c>
      <c r="U47" s="4">
        <v>25675127</v>
      </c>
      <c r="V47" s="4">
        <v>38960636</v>
      </c>
      <c r="W47" s="4">
        <v>83844025</v>
      </c>
      <c r="X47" s="4">
        <v>82833407</v>
      </c>
      <c r="Y47" s="4">
        <v>-28883103</v>
      </c>
      <c r="Z47" s="4">
        <v>172508885</v>
      </c>
    </row>
    <row r="48" spans="1:26" s="1" customFormat="1" ht="12.5" x14ac:dyDescent="0.25">
      <c r="A48" s="1" t="s">
        <v>257</v>
      </c>
      <c r="B48" s="4">
        <v>54244150197</v>
      </c>
      <c r="C48" s="4">
        <v>50900906796</v>
      </c>
      <c r="D48" s="4">
        <v>57138724203</v>
      </c>
      <c r="E48" s="4">
        <v>78008178147</v>
      </c>
      <c r="F48" s="4">
        <v>83128011494</v>
      </c>
      <c r="G48" s="4">
        <v>75794134320</v>
      </c>
      <c r="H48" s="4">
        <v>80866920075</v>
      </c>
      <c r="I48" s="4">
        <v>71941074002</v>
      </c>
      <c r="J48" s="4">
        <v>91745144190</v>
      </c>
      <c r="K48" s="4">
        <v>116517003967</v>
      </c>
      <c r="L48" s="4">
        <v>152839623493</v>
      </c>
      <c r="M48" s="6">
        <f>Table2[[#This Row],[2025]]/SUM(Table2[2025])</f>
        <v>9.6227747758149632E-3</v>
      </c>
      <c r="N48" s="4"/>
      <c r="O48" s="1" t="s">
        <v>40</v>
      </c>
      <c r="P48" s="4">
        <v>7781848</v>
      </c>
      <c r="Q48" s="4">
        <v>-63163468</v>
      </c>
      <c r="R48" s="4">
        <v>5139746</v>
      </c>
      <c r="S48" s="4">
        <v>18867075</v>
      </c>
      <c r="T48" s="4">
        <v>1097127</v>
      </c>
      <c r="U48" s="4">
        <v>1450721</v>
      </c>
      <c r="V48" s="4">
        <v>80290433</v>
      </c>
      <c r="W48" s="4">
        <v>57712593</v>
      </c>
      <c r="X48" s="4">
        <v>42296641</v>
      </c>
      <c r="Y48" s="4">
        <v>-42673609</v>
      </c>
      <c r="Z48" s="4">
        <v>7400087</v>
      </c>
    </row>
    <row r="49" spans="1:26" s="1" customFormat="1" ht="12.5" x14ac:dyDescent="0.25">
      <c r="A49" s="1" t="s">
        <v>261</v>
      </c>
      <c r="B49" s="4">
        <v>64528112606</v>
      </c>
      <c r="C49" s="4">
        <v>67945119584</v>
      </c>
      <c r="D49" s="4">
        <v>95108658121</v>
      </c>
      <c r="E49" s="4">
        <v>115639239748</v>
      </c>
      <c r="F49" s="4">
        <v>134550610685</v>
      </c>
      <c r="G49" s="4">
        <v>212123049037</v>
      </c>
      <c r="H49" s="4">
        <v>260052055513</v>
      </c>
      <c r="I49" s="4">
        <v>155507621794</v>
      </c>
      <c r="J49" s="4">
        <v>169694235057</v>
      </c>
      <c r="K49" s="4">
        <v>210084505363</v>
      </c>
      <c r="L49" s="4">
        <v>149213346317</v>
      </c>
      <c r="M49" s="6">
        <f>Table2[[#This Row],[2025]]/SUM(Table2[2025])</f>
        <v>9.39446455270764E-3</v>
      </c>
      <c r="N49" s="4"/>
      <c r="O49" s="1" t="s">
        <v>41</v>
      </c>
      <c r="P49" s="4">
        <v>-7302546</v>
      </c>
      <c r="Q49" s="4">
        <v>-22650070</v>
      </c>
      <c r="R49" s="4">
        <v>-17798774</v>
      </c>
      <c r="S49" s="4">
        <v>-5506552</v>
      </c>
      <c r="T49" s="4">
        <v>3362903789</v>
      </c>
      <c r="U49" s="4">
        <v>660515461</v>
      </c>
      <c r="V49" s="4">
        <v>-184083260</v>
      </c>
      <c r="W49" s="4">
        <v>127071212</v>
      </c>
      <c r="X49" s="4">
        <v>133489513</v>
      </c>
      <c r="Y49" s="4">
        <v>-792729765</v>
      </c>
      <c r="Z49" s="4">
        <v>-181796588</v>
      </c>
    </row>
    <row r="50" spans="1:26" s="1" customFormat="1" ht="12.5" x14ac:dyDescent="0.25">
      <c r="A50" s="1" t="s">
        <v>182</v>
      </c>
      <c r="B50" s="4">
        <v>2989796962</v>
      </c>
      <c r="C50" s="4">
        <v>4778388007</v>
      </c>
      <c r="D50" s="4">
        <v>6985025993</v>
      </c>
      <c r="E50" s="4">
        <v>11232279501</v>
      </c>
      <c r="F50" s="4">
        <v>22266282405</v>
      </c>
      <c r="G50" s="4">
        <v>40631500712</v>
      </c>
      <c r="H50" s="4">
        <v>69732485187</v>
      </c>
      <c r="I50" s="4">
        <v>92520706345</v>
      </c>
      <c r="J50" s="4">
        <v>138982005013</v>
      </c>
      <c r="K50" s="4">
        <v>158709721033</v>
      </c>
      <c r="L50" s="4">
        <v>139789544783</v>
      </c>
      <c r="M50" s="6">
        <f>Table2[[#This Row],[2025]]/SUM(Table2[2025])</f>
        <v>8.8011424964162949E-3</v>
      </c>
      <c r="N50" s="4"/>
      <c r="O50" s="1" t="s">
        <v>42</v>
      </c>
      <c r="P50" s="4">
        <v>20809990</v>
      </c>
      <c r="Q50" s="4">
        <v>-18515514</v>
      </c>
      <c r="R50" s="4">
        <v>46069567</v>
      </c>
      <c r="S50" s="4">
        <v>-17705471</v>
      </c>
      <c r="T50" s="4">
        <v>-39333739</v>
      </c>
      <c r="U50" s="4">
        <v>-21244386</v>
      </c>
      <c r="V50" s="4">
        <v>116328166</v>
      </c>
      <c r="W50" s="4">
        <v>96971422</v>
      </c>
      <c r="X50" s="4">
        <v>35620054</v>
      </c>
      <c r="Y50" s="4">
        <v>23420953</v>
      </c>
      <c r="Z50" s="4">
        <v>23162111</v>
      </c>
    </row>
    <row r="51" spans="1:26" s="1" customFormat="1" ht="12.5" x14ac:dyDescent="0.25">
      <c r="A51" s="1" t="s">
        <v>182</v>
      </c>
      <c r="B51" s="4">
        <v>26434946843</v>
      </c>
      <c r="C51" s="4">
        <v>41026475350</v>
      </c>
      <c r="D51" s="4">
        <v>44962246888</v>
      </c>
      <c r="E51" s="4">
        <v>51713456897</v>
      </c>
      <c r="F51" s="4">
        <v>58497393142</v>
      </c>
      <c r="G51" s="4">
        <v>70021497153</v>
      </c>
      <c r="H51" s="4">
        <v>91958865318</v>
      </c>
      <c r="I51" s="4">
        <v>75589299796</v>
      </c>
      <c r="J51" s="4">
        <v>106722966744</v>
      </c>
      <c r="K51" s="4">
        <v>138938613404</v>
      </c>
      <c r="L51" s="4">
        <v>137490013400</v>
      </c>
      <c r="M51" s="6">
        <f>Table2[[#This Row],[2025]]/SUM(Table2[2025])</f>
        <v>8.6563641196916192E-3</v>
      </c>
      <c r="N51" s="4"/>
      <c r="O51" s="1" t="s">
        <v>43</v>
      </c>
      <c r="P51" s="4">
        <v>103492414</v>
      </c>
      <c r="Q51" s="4">
        <v>124870270</v>
      </c>
      <c r="R51" s="4">
        <v>7887204</v>
      </c>
      <c r="S51" s="4">
        <v>-163511168</v>
      </c>
      <c r="T51" s="4">
        <v>-1926181</v>
      </c>
      <c r="U51" s="4">
        <v>20403181</v>
      </c>
      <c r="V51" s="4">
        <v>-7421743</v>
      </c>
      <c r="W51" s="4">
        <v>5081158</v>
      </c>
      <c r="X51" s="4">
        <v>171601759</v>
      </c>
      <c r="Y51" s="4">
        <v>-451064</v>
      </c>
      <c r="Z51" s="4">
        <v>16584389</v>
      </c>
    </row>
    <row r="52" spans="1:26" s="1" customFormat="1" ht="12.5" x14ac:dyDescent="0.25">
      <c r="A52" s="1" t="s">
        <v>225</v>
      </c>
      <c r="B52" s="4">
        <v>10019493433</v>
      </c>
      <c r="C52" s="4">
        <v>10348198440</v>
      </c>
      <c r="D52" s="4">
        <v>12295171840</v>
      </c>
      <c r="E52" s="4">
        <v>15331712544</v>
      </c>
      <c r="F52" s="4">
        <v>22181889860</v>
      </c>
      <c r="G52" s="4">
        <v>75005511786</v>
      </c>
      <c r="H52" s="4">
        <v>150934489727</v>
      </c>
      <c r="I52" s="4">
        <v>112621137502</v>
      </c>
      <c r="J52" s="4">
        <v>134584940301</v>
      </c>
      <c r="K52" s="4">
        <v>138042128484</v>
      </c>
      <c r="L52" s="4">
        <v>124598263314</v>
      </c>
      <c r="M52" s="6">
        <f>Table2[[#This Row],[2025]]/SUM(Table2[2025])</f>
        <v>7.8447002022562756E-3</v>
      </c>
      <c r="N52" s="4"/>
      <c r="O52" s="1" t="s">
        <v>44</v>
      </c>
      <c r="P52" s="4">
        <v>109045176</v>
      </c>
      <c r="Q52" s="4">
        <v>203872628</v>
      </c>
      <c r="R52" s="4">
        <v>-13258491</v>
      </c>
      <c r="S52" s="4">
        <v>-170430</v>
      </c>
      <c r="T52" s="4">
        <v>28475709</v>
      </c>
      <c r="U52" s="4">
        <v>50120882</v>
      </c>
      <c r="V52" s="4">
        <v>20483626</v>
      </c>
      <c r="W52" s="4">
        <v>175626326</v>
      </c>
      <c r="X52" s="4">
        <v>115363224</v>
      </c>
      <c r="Y52" s="4">
        <v>178387939</v>
      </c>
      <c r="Z52" s="4">
        <v>68630803</v>
      </c>
    </row>
    <row r="53" spans="1:26" s="1" customFormat="1" ht="12.5" x14ac:dyDescent="0.25">
      <c r="A53" s="1" t="s">
        <v>224</v>
      </c>
      <c r="B53" s="4">
        <v>9982534106</v>
      </c>
      <c r="C53" s="4">
        <v>13977968771</v>
      </c>
      <c r="D53" s="4">
        <v>23257654522</v>
      </c>
      <c r="E53" s="4">
        <v>33481145307</v>
      </c>
      <c r="F53" s="4">
        <v>65700392584</v>
      </c>
      <c r="G53" s="4">
        <v>102399817417</v>
      </c>
      <c r="H53" s="4">
        <v>170853014103</v>
      </c>
      <c r="I53" s="4">
        <v>149621966489</v>
      </c>
      <c r="J53" s="4">
        <v>173713858472</v>
      </c>
      <c r="K53" s="4">
        <v>170567160887</v>
      </c>
      <c r="L53" s="4">
        <v>119757560801</v>
      </c>
      <c r="M53" s="6">
        <f>Table2[[#This Row],[2025]]/SUM(Table2[2025])</f>
        <v>7.5399298228562388E-3</v>
      </c>
      <c r="N53" s="4"/>
      <c r="O53" s="1" t="s">
        <v>45</v>
      </c>
      <c r="P53" s="4">
        <v>13222569</v>
      </c>
      <c r="Q53" s="4">
        <v>26238292</v>
      </c>
      <c r="R53" s="4">
        <v>-15196266</v>
      </c>
      <c r="S53" s="4">
        <v>9596743</v>
      </c>
      <c r="T53" s="4">
        <v>9565840</v>
      </c>
      <c r="U53" s="4">
        <v>22322095</v>
      </c>
      <c r="V53" s="4">
        <v>148417385</v>
      </c>
      <c r="W53" s="4">
        <v>-15077120</v>
      </c>
      <c r="X53" s="4">
        <v>22030575</v>
      </c>
      <c r="Y53" s="4">
        <v>-47650956</v>
      </c>
      <c r="Z53" s="4">
        <v>62407442</v>
      </c>
    </row>
    <row r="54" spans="1:26" s="1" customFormat="1" ht="12.5" x14ac:dyDescent="0.25">
      <c r="A54" s="1" t="s">
        <v>265</v>
      </c>
      <c r="B54" s="4">
        <v>72030445850</v>
      </c>
      <c r="C54" s="4">
        <v>72533113720</v>
      </c>
      <c r="D54" s="4">
        <v>82115283510</v>
      </c>
      <c r="E54" s="4">
        <v>75399332938</v>
      </c>
      <c r="F54" s="4">
        <v>89339132736</v>
      </c>
      <c r="G54" s="4">
        <v>89532291663</v>
      </c>
      <c r="H54" s="4">
        <v>100981721972</v>
      </c>
      <c r="I54" s="4">
        <v>87764696356</v>
      </c>
      <c r="J54" s="4">
        <v>102244635105</v>
      </c>
      <c r="K54" s="4">
        <v>119311736307</v>
      </c>
      <c r="L54" s="4">
        <v>115438330322</v>
      </c>
      <c r="M54" s="6">
        <f>Table2[[#This Row],[2025]]/SUM(Table2[2025])</f>
        <v>7.2679912956970429E-3</v>
      </c>
      <c r="N54" s="4"/>
      <c r="O54" s="1" t="s">
        <v>46</v>
      </c>
      <c r="P54" s="4">
        <v>134427719</v>
      </c>
      <c r="Q54" s="4">
        <v>452414929</v>
      </c>
      <c r="R54" s="4">
        <v>256172669</v>
      </c>
      <c r="S54" s="4">
        <v>-470681837</v>
      </c>
      <c r="T54" s="4">
        <v>-1944732</v>
      </c>
      <c r="U54" s="4">
        <v>147219973</v>
      </c>
      <c r="V54" s="4">
        <v>-19472702</v>
      </c>
      <c r="W54" s="4">
        <v>50989265</v>
      </c>
      <c r="X54" s="4">
        <v>237549183</v>
      </c>
      <c r="Y54" s="4">
        <v>-139304583</v>
      </c>
      <c r="Z54" s="4">
        <v>522032370</v>
      </c>
    </row>
    <row r="55" spans="1:26" s="1" customFormat="1" ht="12.5" x14ac:dyDescent="0.25">
      <c r="A55" s="1" t="s">
        <v>247</v>
      </c>
      <c r="B55" s="4">
        <v>25890715876</v>
      </c>
      <c r="C55" s="4">
        <v>31182638473</v>
      </c>
      <c r="D55" s="4">
        <v>39229992015</v>
      </c>
      <c r="E55" s="4">
        <v>42137096519</v>
      </c>
      <c r="F55" s="4">
        <v>54727979358</v>
      </c>
      <c r="G55" s="4">
        <v>60106687119</v>
      </c>
      <c r="H55" s="4">
        <v>78962335616</v>
      </c>
      <c r="I55" s="4">
        <v>80608436940</v>
      </c>
      <c r="J55" s="4">
        <v>88294929090</v>
      </c>
      <c r="K55" s="4">
        <v>94484886142</v>
      </c>
      <c r="L55" s="4">
        <v>109821683059</v>
      </c>
      <c r="M55" s="6">
        <f>Table2[[#This Row],[2025]]/SUM(Table2[2025])</f>
        <v>6.9143674750421725E-3</v>
      </c>
      <c r="N55" s="4"/>
      <c r="O55" s="1" t="s">
        <v>47</v>
      </c>
      <c r="P55" s="4">
        <v>16312820</v>
      </c>
      <c r="Q55" s="4">
        <v>-120430220</v>
      </c>
      <c r="R55" s="4">
        <v>13949638</v>
      </c>
      <c r="S55" s="4">
        <v>2735146</v>
      </c>
      <c r="T55" s="4">
        <v>-4397769</v>
      </c>
      <c r="U55" s="4">
        <v>-4178139</v>
      </c>
      <c r="V55" s="4">
        <v>2556666</v>
      </c>
      <c r="W55" s="4">
        <v>1248218</v>
      </c>
      <c r="X55" s="4">
        <v>314609</v>
      </c>
      <c r="Y55" s="4">
        <v>4410083</v>
      </c>
      <c r="Z55" s="4">
        <v>16086882</v>
      </c>
    </row>
    <row r="56" spans="1:26" s="1" customFormat="1" ht="12.5" x14ac:dyDescent="0.25">
      <c r="A56" s="1" t="s">
        <v>234</v>
      </c>
      <c r="B56" s="4">
        <v>13636562759</v>
      </c>
      <c r="C56" s="4">
        <v>18395138748</v>
      </c>
      <c r="D56" s="4">
        <v>20162521986</v>
      </c>
      <c r="E56" s="4">
        <v>25409793552</v>
      </c>
      <c r="F56" s="4">
        <v>31790174842</v>
      </c>
      <c r="G56" s="4">
        <v>46713146990</v>
      </c>
      <c r="H56" s="4">
        <v>75654681722</v>
      </c>
      <c r="I56" s="4">
        <v>65430025498</v>
      </c>
      <c r="J56" s="4">
        <v>88438895778</v>
      </c>
      <c r="K56" s="4">
        <v>109175663726</v>
      </c>
      <c r="L56" s="4">
        <v>103220983786</v>
      </c>
      <c r="M56" s="6">
        <f>Table2[[#This Row],[2025]]/SUM(Table2[2025])</f>
        <v>6.4987877908258369E-3</v>
      </c>
      <c r="N56" s="4"/>
      <c r="O56" s="1" t="s">
        <v>48</v>
      </c>
      <c r="P56" s="4">
        <v>-34415590</v>
      </c>
      <c r="Q56" s="4">
        <v>-122966522</v>
      </c>
      <c r="R56" s="4">
        <v>284942757</v>
      </c>
      <c r="S56" s="4">
        <v>207329127</v>
      </c>
      <c r="T56" s="4">
        <v>219327484</v>
      </c>
      <c r="U56" s="4">
        <v>436401836</v>
      </c>
      <c r="V56" s="4">
        <v>79445006</v>
      </c>
      <c r="W56" s="4">
        <v>-92331444</v>
      </c>
      <c r="X56" s="4">
        <v>-189495978</v>
      </c>
      <c r="Y56" s="4">
        <v>131061257</v>
      </c>
      <c r="Z56" s="4">
        <v>396496110</v>
      </c>
    </row>
    <row r="57" spans="1:26" s="1" customFormat="1" ht="12.5" x14ac:dyDescent="0.25">
      <c r="A57" s="1" t="s">
        <v>250</v>
      </c>
      <c r="B57" s="4">
        <v>31511565306</v>
      </c>
      <c r="C57" s="4">
        <v>23935189281</v>
      </c>
      <c r="D57" s="4">
        <v>33919337807</v>
      </c>
      <c r="E57" s="4">
        <v>42647008549</v>
      </c>
      <c r="F57" s="4">
        <v>60716057100</v>
      </c>
      <c r="G57" s="4">
        <v>110306298550</v>
      </c>
      <c r="H57" s="4">
        <v>150316948507</v>
      </c>
      <c r="I57" s="4">
        <v>88437863988</v>
      </c>
      <c r="J57" s="4">
        <v>114234366579</v>
      </c>
      <c r="K57" s="4">
        <v>119916484260</v>
      </c>
      <c r="L57" s="4">
        <v>97293735354</v>
      </c>
      <c r="M57" s="6">
        <f>Table2[[#This Row],[2025]]/SUM(Table2[2025])</f>
        <v>6.1256085366643625E-3</v>
      </c>
      <c r="N57" s="4"/>
      <c r="O57" s="1" t="s">
        <v>49</v>
      </c>
      <c r="P57" s="4">
        <v>12408135</v>
      </c>
      <c r="Q57" s="4">
        <v>23267514</v>
      </c>
      <c r="R57" s="4">
        <v>123907344</v>
      </c>
      <c r="S57" s="4">
        <v>8104390</v>
      </c>
      <c r="T57" s="4">
        <v>102801980</v>
      </c>
      <c r="U57" s="4">
        <v>-8667118</v>
      </c>
      <c r="V57" s="4">
        <v>51647972</v>
      </c>
      <c r="W57" s="4">
        <v>-112127104</v>
      </c>
      <c r="X57" s="4">
        <v>28859636</v>
      </c>
      <c r="Y57" s="4">
        <v>86027369</v>
      </c>
      <c r="Z57" s="4">
        <v>53360388</v>
      </c>
    </row>
    <row r="58" spans="1:26" s="1" customFormat="1" ht="12.5" x14ac:dyDescent="0.25">
      <c r="A58" s="1" t="s">
        <v>253</v>
      </c>
      <c r="B58" s="4">
        <v>39735043198</v>
      </c>
      <c r="C58" s="4">
        <v>42457847201</v>
      </c>
      <c r="D58" s="4">
        <v>48507228093</v>
      </c>
      <c r="E58" s="4">
        <v>47221844839</v>
      </c>
      <c r="F58" s="4">
        <v>55013584868</v>
      </c>
      <c r="G58" s="4">
        <v>64077726118</v>
      </c>
      <c r="H58" s="4">
        <v>80947839430</v>
      </c>
      <c r="I58" s="4">
        <v>78602958979</v>
      </c>
      <c r="J58" s="4">
        <v>94739411390</v>
      </c>
      <c r="K58" s="4">
        <v>104966036065</v>
      </c>
      <c r="L58" s="4">
        <v>96559447953</v>
      </c>
      <c r="M58" s="6">
        <f>Table2[[#This Row],[2025]]/SUM(Table2[2025])</f>
        <v>6.0793778399441155E-3</v>
      </c>
      <c r="N58" s="4"/>
      <c r="O58" s="1" t="s">
        <v>50</v>
      </c>
      <c r="P58" s="4">
        <v>-39439670</v>
      </c>
      <c r="Q58" s="4">
        <v>12047493</v>
      </c>
      <c r="R58" s="4">
        <v>459274920</v>
      </c>
      <c r="S58" s="4">
        <v>148162420</v>
      </c>
      <c r="T58" s="4">
        <v>-208243817</v>
      </c>
      <c r="U58" s="4">
        <v>-86479419</v>
      </c>
      <c r="V58" s="4">
        <v>140993039</v>
      </c>
      <c r="W58" s="4">
        <v>248408345</v>
      </c>
      <c r="X58" s="4">
        <v>106788754</v>
      </c>
      <c r="Y58" s="4">
        <v>-343380811</v>
      </c>
      <c r="Z58" s="4">
        <v>-74002908</v>
      </c>
    </row>
    <row r="59" spans="1:26" s="1" customFormat="1" ht="12.5" x14ac:dyDescent="0.25">
      <c r="A59" s="1" t="s">
        <v>262</v>
      </c>
      <c r="B59" s="4">
        <v>64913314851</v>
      </c>
      <c r="C59" s="4">
        <v>59798742857</v>
      </c>
      <c r="D59" s="4">
        <v>64248864674</v>
      </c>
      <c r="E59" s="4">
        <v>55788263286</v>
      </c>
      <c r="F59" s="4">
        <v>62209129517</v>
      </c>
      <c r="G59" s="4">
        <v>67266510373</v>
      </c>
      <c r="H59" s="4">
        <v>86138977466</v>
      </c>
      <c r="I59" s="4">
        <v>71621885778</v>
      </c>
      <c r="J59" s="4">
        <v>81630872543</v>
      </c>
      <c r="K59" s="4">
        <v>95882548858</v>
      </c>
      <c r="L59" s="4">
        <v>95026931425</v>
      </c>
      <c r="M59" s="6">
        <f>Table2[[#This Row],[2025]]/SUM(Table2[2025])</f>
        <v>5.9828906787477701E-3</v>
      </c>
      <c r="N59" s="4"/>
      <c r="O59" s="1" t="s">
        <v>51</v>
      </c>
      <c r="P59" s="4">
        <v>199330053</v>
      </c>
      <c r="Q59" s="4">
        <v>14314184</v>
      </c>
      <c r="R59" s="4">
        <v>-1456221</v>
      </c>
      <c r="S59" s="4">
        <v>15782677</v>
      </c>
      <c r="T59" s="4">
        <v>68213248</v>
      </c>
      <c r="U59" s="4">
        <v>-4273662</v>
      </c>
      <c r="V59" s="4">
        <v>23012300</v>
      </c>
      <c r="W59" s="4">
        <v>31053122</v>
      </c>
      <c r="X59" s="4">
        <v>-4738046</v>
      </c>
      <c r="Y59" s="4">
        <v>-1105300</v>
      </c>
      <c r="Z59" s="4">
        <v>-35476688</v>
      </c>
    </row>
    <row r="60" spans="1:26" s="1" customFormat="1" ht="12.5" x14ac:dyDescent="0.25">
      <c r="A60" s="1" t="s">
        <v>246</v>
      </c>
      <c r="B60" s="4">
        <v>25448838334</v>
      </c>
      <c r="C60" s="4">
        <v>39889164597</v>
      </c>
      <c r="D60" s="4">
        <v>68600341112</v>
      </c>
      <c r="E60" s="4">
        <v>64208561297</v>
      </c>
      <c r="F60" s="4">
        <v>63783922878</v>
      </c>
      <c r="G60" s="4">
        <v>63104556877</v>
      </c>
      <c r="H60" s="4">
        <v>66335340206</v>
      </c>
      <c r="I60" s="4">
        <v>63713570960</v>
      </c>
      <c r="J60" s="4">
        <v>65197845627</v>
      </c>
      <c r="K60" s="4">
        <v>73184927027</v>
      </c>
      <c r="L60" s="4">
        <v>95025191729</v>
      </c>
      <c r="M60" s="6">
        <f>Table2[[#This Row],[2025]]/SUM(Table2[2025])</f>
        <v>5.9827811475777508E-3</v>
      </c>
      <c r="N60" s="4"/>
      <c r="O60" s="1" t="s">
        <v>52</v>
      </c>
      <c r="P60" s="4">
        <v>62895785</v>
      </c>
      <c r="Q60" s="4">
        <v>98614578</v>
      </c>
      <c r="R60" s="4">
        <v>62882226</v>
      </c>
      <c r="S60" s="4">
        <v>34728088</v>
      </c>
      <c r="T60" s="4">
        <v>-56989600</v>
      </c>
      <c r="U60" s="4">
        <v>188517984</v>
      </c>
      <c r="V60" s="4">
        <v>-180315589</v>
      </c>
      <c r="W60" s="4">
        <v>-122697296</v>
      </c>
      <c r="X60" s="4">
        <v>-32799200</v>
      </c>
      <c r="Y60" s="4">
        <v>-66867388</v>
      </c>
      <c r="Z60" s="4">
        <v>-78928249</v>
      </c>
    </row>
    <row r="61" spans="1:26" s="1" customFormat="1" ht="12.5" x14ac:dyDescent="0.25">
      <c r="A61" s="1" t="s">
        <v>222</v>
      </c>
      <c r="B61" s="4">
        <v>9888084549</v>
      </c>
      <c r="C61" s="4">
        <v>10975282398</v>
      </c>
      <c r="D61" s="4">
        <v>10171932623</v>
      </c>
      <c r="E61" s="4">
        <v>16787789697</v>
      </c>
      <c r="F61" s="4">
        <v>25242989099</v>
      </c>
      <c r="G61" s="4">
        <v>32004304009</v>
      </c>
      <c r="H61" s="4">
        <v>38570747953</v>
      </c>
      <c r="I61" s="4">
        <v>44361514704</v>
      </c>
      <c r="J61" s="4">
        <v>58610500355</v>
      </c>
      <c r="K61" s="4">
        <v>66813339664</v>
      </c>
      <c r="L61" s="4">
        <v>84785129318</v>
      </c>
      <c r="M61" s="6">
        <f>Table2[[#This Row],[2025]]/SUM(Table2[2025])</f>
        <v>5.3380673487646128E-3</v>
      </c>
      <c r="N61" s="4"/>
      <c r="O61" s="1" t="s">
        <v>53</v>
      </c>
      <c r="P61" s="4">
        <v>-19101470</v>
      </c>
      <c r="Q61" s="4">
        <v>22881235</v>
      </c>
      <c r="R61" s="4">
        <v>85177446</v>
      </c>
      <c r="S61" s="4">
        <v>1472307399</v>
      </c>
      <c r="T61" s="4">
        <v>638210415</v>
      </c>
      <c r="U61" s="4">
        <v>1006787810</v>
      </c>
      <c r="V61" s="4">
        <v>673981235</v>
      </c>
      <c r="W61" s="4">
        <v>320298622</v>
      </c>
      <c r="X61" s="4">
        <v>702982352</v>
      </c>
      <c r="Y61" s="4">
        <v>598596318</v>
      </c>
      <c r="Z61" s="4">
        <v>-11108260</v>
      </c>
    </row>
    <row r="62" spans="1:26" s="1" customFormat="1" ht="12.5" x14ac:dyDescent="0.25">
      <c r="A62" s="1" t="s">
        <v>227</v>
      </c>
      <c r="B62" s="4">
        <v>10137604083</v>
      </c>
      <c r="C62" s="4">
        <v>17446717907</v>
      </c>
      <c r="D62" s="4">
        <v>28231136394</v>
      </c>
      <c r="E62" s="4">
        <v>28362764751</v>
      </c>
      <c r="F62" s="4">
        <v>36747591596</v>
      </c>
      <c r="G62" s="4">
        <v>41115099840</v>
      </c>
      <c r="H62" s="4">
        <v>42833673135</v>
      </c>
      <c r="I62" s="4">
        <v>53335774889</v>
      </c>
      <c r="J62" s="4">
        <v>60773060458</v>
      </c>
      <c r="K62" s="4">
        <v>69339040875</v>
      </c>
      <c r="L62" s="4">
        <v>84753697884</v>
      </c>
      <c r="M62" s="6">
        <f>Table2[[#This Row],[2025]]/SUM(Table2[2025])</f>
        <v>5.3360884273085767E-3</v>
      </c>
      <c r="N62" s="4"/>
      <c r="O62" s="1" t="s">
        <v>54</v>
      </c>
      <c r="P62" s="4">
        <v>-29642690</v>
      </c>
      <c r="Q62" s="4">
        <v>-11310500</v>
      </c>
      <c r="R62" s="4">
        <v>-44353387</v>
      </c>
      <c r="S62" s="4">
        <v>-24498524</v>
      </c>
      <c r="T62" s="4">
        <v>-18553764</v>
      </c>
      <c r="U62" s="4">
        <v>-18169229</v>
      </c>
      <c r="V62" s="4">
        <v>-25148217</v>
      </c>
      <c r="W62" s="4">
        <v>-5198023</v>
      </c>
      <c r="X62" s="4">
        <v>-6293545</v>
      </c>
      <c r="Y62" s="4">
        <v>-20382827</v>
      </c>
      <c r="Z62" s="4">
        <v>-42094067</v>
      </c>
    </row>
    <row r="63" spans="1:26" s="1" customFormat="1" ht="12.5" x14ac:dyDescent="0.25">
      <c r="A63" s="1" t="s">
        <v>195</v>
      </c>
      <c r="B63" s="4">
        <v>4376307469</v>
      </c>
      <c r="C63" s="4">
        <v>5355240472</v>
      </c>
      <c r="D63" s="4">
        <v>8500909695</v>
      </c>
      <c r="E63" s="4">
        <v>13916974745</v>
      </c>
      <c r="F63" s="4">
        <v>20372916012</v>
      </c>
      <c r="G63" s="4">
        <v>23745786650</v>
      </c>
      <c r="H63" s="4">
        <v>37351683179</v>
      </c>
      <c r="I63" s="4">
        <v>40078530200</v>
      </c>
      <c r="J63" s="4">
        <v>46369598015</v>
      </c>
      <c r="K63" s="4">
        <v>63812090051</v>
      </c>
      <c r="L63" s="4">
        <v>84104474442</v>
      </c>
      <c r="M63" s="6">
        <f>Table2[[#This Row],[2025]]/SUM(Table2[2025])</f>
        <v>5.2952133530394258E-3</v>
      </c>
      <c r="N63" s="4"/>
      <c r="O63" s="1" t="s">
        <v>55</v>
      </c>
      <c r="P63" s="4">
        <v>15692227</v>
      </c>
      <c r="Q63" s="4">
        <v>60010883</v>
      </c>
      <c r="R63" s="4">
        <v>111749152</v>
      </c>
      <c r="S63" s="4">
        <v>845212243</v>
      </c>
      <c r="T63" s="4">
        <v>414111364</v>
      </c>
      <c r="U63" s="4">
        <v>-399845125</v>
      </c>
      <c r="V63" s="4">
        <v>46459344</v>
      </c>
      <c r="W63" s="4">
        <v>212565876</v>
      </c>
      <c r="X63" s="4">
        <v>-70562886</v>
      </c>
      <c r="Y63" s="4">
        <v>1321107587</v>
      </c>
      <c r="Z63" s="4">
        <v>322951292</v>
      </c>
    </row>
    <row r="64" spans="1:26" s="1" customFormat="1" ht="12.5" x14ac:dyDescent="0.25">
      <c r="A64" s="1" t="s">
        <v>239</v>
      </c>
      <c r="B64" s="4">
        <v>16553825320</v>
      </c>
      <c r="C64" s="4">
        <v>19401093676</v>
      </c>
      <c r="D64" s="4">
        <v>21931766464</v>
      </c>
      <c r="E64" s="4">
        <v>24349691965</v>
      </c>
      <c r="F64" s="4">
        <v>29272959077</v>
      </c>
      <c r="G64" s="4">
        <v>33934214079</v>
      </c>
      <c r="H64" s="4">
        <v>41946583140</v>
      </c>
      <c r="I64" s="4">
        <v>50725044740</v>
      </c>
      <c r="J64" s="4">
        <v>59981910449</v>
      </c>
      <c r="K64" s="4">
        <v>68211898096</v>
      </c>
      <c r="L64" s="4">
        <v>80268875235</v>
      </c>
      <c r="M64" s="6">
        <f>Table2[[#This Row],[2025]]/SUM(Table2[2025])</f>
        <v>5.0537242257062513E-3</v>
      </c>
      <c r="N64" s="4"/>
      <c r="O64" s="1" t="s">
        <v>56</v>
      </c>
      <c r="P64" s="4">
        <v>192726753</v>
      </c>
      <c r="Q64" s="4">
        <v>139546782</v>
      </c>
      <c r="R64" s="4">
        <v>14960994</v>
      </c>
      <c r="S64" s="4">
        <v>9209258</v>
      </c>
      <c r="T64" s="4">
        <v>-15205081</v>
      </c>
      <c r="U64" s="4">
        <v>115534549</v>
      </c>
      <c r="V64" s="4">
        <v>72729325</v>
      </c>
      <c r="W64" s="4">
        <v>41996218</v>
      </c>
      <c r="X64" s="4">
        <v>39314923</v>
      </c>
      <c r="Y64" s="4">
        <v>-7214103</v>
      </c>
      <c r="Z64" s="4">
        <v>23933152</v>
      </c>
    </row>
    <row r="65" spans="1:26" s="1" customFormat="1" ht="12.5" x14ac:dyDescent="0.25">
      <c r="A65" s="1" t="s">
        <v>183</v>
      </c>
      <c r="B65" s="4">
        <v>3029154578</v>
      </c>
      <c r="C65" s="4">
        <v>5046146581</v>
      </c>
      <c r="D65" s="4">
        <v>9914037286</v>
      </c>
      <c r="E65" s="4">
        <v>15284998590</v>
      </c>
      <c r="F65" s="4">
        <v>26766604978</v>
      </c>
      <c r="G65" s="4">
        <v>32099054051</v>
      </c>
      <c r="H65" s="4">
        <v>42110046809</v>
      </c>
      <c r="I65" s="4">
        <v>39967198136</v>
      </c>
      <c r="J65" s="4">
        <v>44482496514</v>
      </c>
      <c r="K65" s="4">
        <v>60524248026</v>
      </c>
      <c r="L65" s="4">
        <v>80257625640</v>
      </c>
      <c r="M65" s="6">
        <f>Table2[[#This Row],[2025]]/SUM(Table2[2025])</f>
        <v>5.0530159517879437E-3</v>
      </c>
      <c r="N65" s="4"/>
      <c r="O65" s="1" t="s">
        <v>57</v>
      </c>
      <c r="P65" s="4">
        <v>35438595</v>
      </c>
      <c r="Q65" s="4">
        <v>121122451</v>
      </c>
      <c r="R65" s="4">
        <v>-16410652</v>
      </c>
      <c r="S65" s="4">
        <v>26913189</v>
      </c>
      <c r="T65" s="4">
        <v>18534179</v>
      </c>
      <c r="U65" s="4">
        <v>15865130</v>
      </c>
      <c r="V65" s="4">
        <v>193936873</v>
      </c>
      <c r="W65" s="4">
        <v>74331391</v>
      </c>
      <c r="X65" s="4">
        <v>-2633524</v>
      </c>
      <c r="Y65" s="4">
        <v>65312871</v>
      </c>
      <c r="Z65" s="4">
        <v>48595743</v>
      </c>
    </row>
    <row r="66" spans="1:26" s="1" customFormat="1" ht="12.5" x14ac:dyDescent="0.25">
      <c r="A66" s="1" t="s">
        <v>193</v>
      </c>
      <c r="B66" s="4">
        <v>4305648565</v>
      </c>
      <c r="C66" s="4">
        <v>6116108531</v>
      </c>
      <c r="D66" s="4">
        <v>9165451690</v>
      </c>
      <c r="E66" s="4">
        <v>8710281674</v>
      </c>
      <c r="F66" s="4">
        <v>11058560588</v>
      </c>
      <c r="G66" s="4">
        <v>17860564832</v>
      </c>
      <c r="H66" s="4">
        <v>27665833852</v>
      </c>
      <c r="I66" s="4">
        <v>35506401190</v>
      </c>
      <c r="J66" s="4">
        <v>47289954938</v>
      </c>
      <c r="K66" s="4">
        <v>59964094709</v>
      </c>
      <c r="L66" s="4">
        <v>77978966562</v>
      </c>
      <c r="M66" s="6">
        <f>Table2[[#This Row],[2025]]/SUM(Table2[2025])</f>
        <v>4.909551694304579E-3</v>
      </c>
      <c r="N66" s="4"/>
      <c r="O66" s="1" t="s">
        <v>58</v>
      </c>
      <c r="P66" s="4">
        <v>-8319753</v>
      </c>
      <c r="Q66" s="4">
        <v>-19614034</v>
      </c>
      <c r="R66" s="4">
        <v>-160004918</v>
      </c>
      <c r="S66" s="4">
        <v>27642413</v>
      </c>
      <c r="T66" s="4">
        <v>5032901</v>
      </c>
      <c r="U66" s="4">
        <v>-7070873</v>
      </c>
      <c r="V66" s="4">
        <v>-3080809</v>
      </c>
      <c r="W66" s="4">
        <v>-3621171</v>
      </c>
      <c r="X66" s="4">
        <v>-1072609</v>
      </c>
      <c r="Y66" s="4">
        <v>-950036</v>
      </c>
      <c r="Z66" s="4">
        <v>-9518731</v>
      </c>
    </row>
    <row r="67" spans="1:26" s="1" customFormat="1" ht="12.5" x14ac:dyDescent="0.25">
      <c r="A67" s="1" t="s">
        <v>270</v>
      </c>
      <c r="B67" s="4">
        <v>92541916501</v>
      </c>
      <c r="C67" s="4">
        <v>71672850465</v>
      </c>
      <c r="D67" s="4">
        <v>65343796725</v>
      </c>
      <c r="E67" s="4">
        <v>60974424524</v>
      </c>
      <c r="F67" s="4">
        <v>62086516172</v>
      </c>
      <c r="G67" s="4">
        <v>60994313061</v>
      </c>
      <c r="H67" s="4">
        <v>71980556362</v>
      </c>
      <c r="I67" s="4">
        <v>65969464693</v>
      </c>
      <c r="J67" s="4">
        <v>73198290146</v>
      </c>
      <c r="K67" s="4">
        <v>70147534279</v>
      </c>
      <c r="L67" s="4">
        <v>70994225837</v>
      </c>
      <c r="M67" s="6">
        <f>Table2[[#This Row],[2025]]/SUM(Table2[2025])</f>
        <v>4.4697927801692289E-3</v>
      </c>
      <c r="N67" s="4"/>
      <c r="O67" s="1" t="s">
        <v>59</v>
      </c>
      <c r="P67" s="4">
        <v>-50620588</v>
      </c>
      <c r="Q67" s="4">
        <v>27226038</v>
      </c>
      <c r="R67" s="4">
        <v>-11876244</v>
      </c>
      <c r="S67" s="4">
        <v>-24208015</v>
      </c>
      <c r="T67" s="4">
        <v>16089366</v>
      </c>
      <c r="U67" s="4">
        <v>158491686</v>
      </c>
      <c r="V67" s="4">
        <v>248204232</v>
      </c>
      <c r="W67" s="4">
        <v>-97953844</v>
      </c>
      <c r="X67" s="4">
        <v>-8561287</v>
      </c>
      <c r="Y67" s="4">
        <v>870696721</v>
      </c>
      <c r="Z67" s="4">
        <v>475828304</v>
      </c>
    </row>
    <row r="68" spans="1:26" s="1" customFormat="1" ht="12.5" x14ac:dyDescent="0.25">
      <c r="A68" s="1" t="s">
        <v>325</v>
      </c>
      <c r="B68" s="1" t="s">
        <v>21</v>
      </c>
      <c r="C68" s="1" t="s">
        <v>21</v>
      </c>
      <c r="D68" s="4">
        <v>3093363747</v>
      </c>
      <c r="E68" s="4">
        <v>4540756944</v>
      </c>
      <c r="F68" s="4">
        <v>12082656100</v>
      </c>
      <c r="G68" s="4">
        <v>23720186425</v>
      </c>
      <c r="H68" s="4">
        <v>30399579806</v>
      </c>
      <c r="I68" s="4">
        <v>30609011143</v>
      </c>
      <c r="J68" s="4">
        <v>51859267712</v>
      </c>
      <c r="K68" s="4">
        <v>72623228271</v>
      </c>
      <c r="L68" s="4">
        <v>70143007919</v>
      </c>
      <c r="M68" s="6">
        <f>Table2[[#This Row],[2025]]/SUM(Table2[2025])</f>
        <v>4.4162001441573548E-3</v>
      </c>
      <c r="N68" s="4"/>
      <c r="O68" s="1" t="s">
        <v>60</v>
      </c>
      <c r="P68" s="4">
        <v>20917544</v>
      </c>
      <c r="Q68" s="4">
        <v>-10170728</v>
      </c>
      <c r="R68" s="4">
        <v>-392493</v>
      </c>
      <c r="S68" s="4">
        <v>8540860</v>
      </c>
      <c r="T68" s="4">
        <v>-7386001</v>
      </c>
      <c r="U68" s="4">
        <v>-7472833</v>
      </c>
      <c r="V68" s="4">
        <v>16400557</v>
      </c>
      <c r="W68" s="4">
        <v>12944917</v>
      </c>
      <c r="X68" s="4">
        <v>-5969039</v>
      </c>
      <c r="Y68" s="4">
        <v>-4564350</v>
      </c>
      <c r="Z68" s="4">
        <v>7030957</v>
      </c>
    </row>
    <row r="69" spans="1:26" s="1" customFormat="1" ht="12.5" x14ac:dyDescent="0.25">
      <c r="A69" s="1" t="s">
        <v>256</v>
      </c>
      <c r="B69" s="4">
        <v>50399175996</v>
      </c>
      <c r="C69" s="4">
        <v>50071351569</v>
      </c>
      <c r="D69" s="4">
        <v>55597863185</v>
      </c>
      <c r="E69" s="4">
        <v>49985851295</v>
      </c>
      <c r="F69" s="4">
        <v>48778443832</v>
      </c>
      <c r="G69" s="4">
        <v>46688985143</v>
      </c>
      <c r="H69" s="4">
        <v>53527824087</v>
      </c>
      <c r="I69" s="4">
        <v>48344681113</v>
      </c>
      <c r="J69" s="4">
        <v>49242321276</v>
      </c>
      <c r="K69" s="4">
        <v>63455145291</v>
      </c>
      <c r="L69" s="4">
        <v>68891413862</v>
      </c>
      <c r="M69" s="6">
        <f>Table2[[#This Row],[2025]]/SUM(Table2[2025])</f>
        <v>4.3373998471793193E-3</v>
      </c>
      <c r="N69" s="4"/>
      <c r="O69" s="1" t="s">
        <v>61</v>
      </c>
      <c r="P69" s="4">
        <v>151064061</v>
      </c>
      <c r="Q69" s="4">
        <v>938490555</v>
      </c>
      <c r="R69" s="4">
        <v>785915093</v>
      </c>
      <c r="S69" s="4">
        <v>13534999</v>
      </c>
      <c r="T69" s="4">
        <v>-32182623</v>
      </c>
      <c r="U69" s="4">
        <v>718773012</v>
      </c>
      <c r="V69" s="4">
        <v>64093531</v>
      </c>
      <c r="W69" s="4">
        <v>-290009113</v>
      </c>
      <c r="X69" s="4">
        <v>-388356297</v>
      </c>
      <c r="Y69" s="4">
        <v>-166492000</v>
      </c>
      <c r="Z69" s="4">
        <v>-447720513</v>
      </c>
    </row>
    <row r="70" spans="1:26" s="1" customFormat="1" ht="12.5" x14ac:dyDescent="0.25">
      <c r="A70" s="1" t="s">
        <v>157</v>
      </c>
      <c r="B70" s="4">
        <v>1915210468</v>
      </c>
      <c r="C70" s="4">
        <v>1511034330</v>
      </c>
      <c r="D70" s="4">
        <v>1971521214</v>
      </c>
      <c r="E70" s="4">
        <v>1991251334</v>
      </c>
      <c r="F70" s="4">
        <v>1822972638</v>
      </c>
      <c r="G70" s="4">
        <v>1706857573</v>
      </c>
      <c r="H70" s="4">
        <v>47680933178</v>
      </c>
      <c r="I70" s="4">
        <v>42688550416</v>
      </c>
      <c r="J70" s="4">
        <v>54504968999</v>
      </c>
      <c r="K70" s="4">
        <v>65237372445</v>
      </c>
      <c r="L70" s="4">
        <v>68163363559</v>
      </c>
      <c r="M70" s="6">
        <f>Table2[[#This Row],[2025]]/SUM(Table2[2025])</f>
        <v>4.2915618378259815E-3</v>
      </c>
      <c r="N70" s="4"/>
      <c r="O70" s="1" t="s">
        <v>62</v>
      </c>
      <c r="P70" s="4">
        <v>277528401</v>
      </c>
      <c r="Q70" s="4">
        <v>108957836</v>
      </c>
      <c r="R70" s="4">
        <v>37274563</v>
      </c>
      <c r="S70" s="4">
        <v>14391786</v>
      </c>
      <c r="T70" s="4">
        <v>25528380</v>
      </c>
      <c r="U70" s="4">
        <v>6847966</v>
      </c>
      <c r="V70" s="4">
        <v>64717366</v>
      </c>
      <c r="W70" s="4">
        <v>33052724</v>
      </c>
      <c r="X70" s="4">
        <v>-65546738</v>
      </c>
      <c r="Y70" s="4">
        <v>-134553471</v>
      </c>
      <c r="Z70" s="4">
        <v>19629788</v>
      </c>
    </row>
    <row r="71" spans="1:26" s="1" customFormat="1" ht="12.5" x14ac:dyDescent="0.25">
      <c r="A71" s="1" t="s">
        <v>245</v>
      </c>
      <c r="B71" s="4">
        <v>22639860532</v>
      </c>
      <c r="C71" s="4">
        <v>20607382262</v>
      </c>
      <c r="D71" s="4">
        <v>27787686282</v>
      </c>
      <c r="E71" s="4">
        <v>40458455355</v>
      </c>
      <c r="F71" s="4">
        <v>60699782120</v>
      </c>
      <c r="G71" s="4">
        <v>64985803178</v>
      </c>
      <c r="H71" s="4">
        <v>79579033567</v>
      </c>
      <c r="I71" s="4">
        <v>69710296354</v>
      </c>
      <c r="J71" s="4">
        <v>68802980256</v>
      </c>
      <c r="K71" s="4">
        <v>65623153739</v>
      </c>
      <c r="L71" s="4">
        <v>61667434001</v>
      </c>
      <c r="M71" s="6">
        <f>Table2[[#This Row],[2025]]/SUM(Table2[2025])</f>
        <v>3.8825784494374584E-3</v>
      </c>
      <c r="N71" s="4"/>
      <c r="O71" s="1" t="s">
        <v>63</v>
      </c>
      <c r="P71" s="4">
        <v>76984483</v>
      </c>
      <c r="Q71" s="4">
        <v>14103868</v>
      </c>
      <c r="R71" s="4">
        <v>51349456</v>
      </c>
      <c r="S71" s="4">
        <v>9313719</v>
      </c>
      <c r="T71" s="4">
        <v>21476167</v>
      </c>
      <c r="U71" s="4">
        <v>53902258</v>
      </c>
      <c r="V71" s="4">
        <v>64522425</v>
      </c>
      <c r="W71" s="4">
        <v>51020766</v>
      </c>
      <c r="X71" s="4">
        <v>22043845</v>
      </c>
      <c r="Y71" s="4">
        <v>48276919</v>
      </c>
      <c r="Z71" s="4">
        <v>85584381</v>
      </c>
    </row>
    <row r="72" spans="1:26" s="1" customFormat="1" ht="12.5" x14ac:dyDescent="0.25">
      <c r="A72" s="1" t="s">
        <v>228</v>
      </c>
      <c r="B72" s="4">
        <v>10245064906</v>
      </c>
      <c r="C72" s="4">
        <v>8199083810</v>
      </c>
      <c r="D72" s="4">
        <v>11260093878</v>
      </c>
      <c r="E72" s="4">
        <v>15414677158</v>
      </c>
      <c r="F72" s="4">
        <v>26041250528</v>
      </c>
      <c r="G72" s="4">
        <v>29723672692</v>
      </c>
      <c r="H72" s="4">
        <v>38825033458</v>
      </c>
      <c r="I72" s="4">
        <v>36076230023</v>
      </c>
      <c r="J72" s="4">
        <v>45559688268</v>
      </c>
      <c r="K72" s="4">
        <v>55123915397</v>
      </c>
      <c r="L72" s="4">
        <v>58113066656</v>
      </c>
      <c r="M72" s="6">
        <f>Table2[[#This Row],[2025]]/SUM(Table2[2025])</f>
        <v>3.6587956655639237E-3</v>
      </c>
      <c r="N72" s="4"/>
      <c r="O72" s="1" t="s">
        <v>64</v>
      </c>
      <c r="P72" s="4">
        <v>3224213</v>
      </c>
      <c r="Q72" s="4">
        <v>-13932943</v>
      </c>
      <c r="R72" s="4">
        <v>-44910747</v>
      </c>
      <c r="S72" s="4">
        <v>-51729142</v>
      </c>
      <c r="T72" s="4">
        <v>-20328556</v>
      </c>
      <c r="U72" s="4">
        <v>-8673965</v>
      </c>
      <c r="V72" s="4">
        <v>-25216553</v>
      </c>
      <c r="W72" s="4">
        <v>3614207</v>
      </c>
      <c r="X72" s="4">
        <v>-22834005</v>
      </c>
      <c r="Y72" s="4">
        <v>-10663495</v>
      </c>
      <c r="Z72" s="4">
        <v>-16091138</v>
      </c>
    </row>
    <row r="73" spans="1:26" s="1" customFormat="1" ht="12.5" x14ac:dyDescent="0.25">
      <c r="A73" s="1" t="s">
        <v>204</v>
      </c>
      <c r="B73" s="4">
        <v>5377117231</v>
      </c>
      <c r="C73" s="4">
        <v>7612011180</v>
      </c>
      <c r="D73" s="4">
        <v>10305302236</v>
      </c>
      <c r="E73" s="4">
        <v>11316471602</v>
      </c>
      <c r="F73" s="4">
        <v>13948117912</v>
      </c>
      <c r="G73" s="4">
        <v>16130599427</v>
      </c>
      <c r="H73" s="4">
        <v>22683990253</v>
      </c>
      <c r="I73" s="4">
        <v>28397839032</v>
      </c>
      <c r="J73" s="4">
        <v>33818307943</v>
      </c>
      <c r="K73" s="4">
        <v>41824017687</v>
      </c>
      <c r="L73" s="4">
        <v>55328731769</v>
      </c>
      <c r="M73" s="6">
        <f>Table2[[#This Row],[2025]]/SUM(Table2[2025])</f>
        <v>3.4834940853472446E-3</v>
      </c>
      <c r="N73" s="4"/>
      <c r="O73" s="1" t="s">
        <v>65</v>
      </c>
      <c r="P73" s="4">
        <v>206543666</v>
      </c>
      <c r="Q73" s="4">
        <v>20065333</v>
      </c>
      <c r="R73" s="4">
        <v>-9395107</v>
      </c>
      <c r="S73" s="4">
        <v>-12042611</v>
      </c>
      <c r="T73" s="4">
        <v>4929594</v>
      </c>
      <c r="U73" s="4">
        <v>48480352</v>
      </c>
      <c r="V73" s="4">
        <v>99562109</v>
      </c>
      <c r="W73" s="4">
        <v>41978580</v>
      </c>
      <c r="X73" s="4">
        <v>-14796852</v>
      </c>
      <c r="Y73" s="4">
        <v>24198250</v>
      </c>
      <c r="Z73" s="4">
        <v>90282882</v>
      </c>
    </row>
    <row r="74" spans="1:26" s="1" customFormat="1" ht="12.5" x14ac:dyDescent="0.25">
      <c r="A74" s="1" t="s">
        <v>269</v>
      </c>
      <c r="B74" s="4">
        <v>80953093247</v>
      </c>
      <c r="C74" s="4">
        <v>78638088220</v>
      </c>
      <c r="D74" s="4">
        <v>75179228240</v>
      </c>
      <c r="E74" s="4">
        <v>56003566599</v>
      </c>
      <c r="F74" s="4">
        <v>48667148629</v>
      </c>
      <c r="G74" s="4">
        <v>47618973863</v>
      </c>
      <c r="H74" s="4">
        <v>50130807182</v>
      </c>
      <c r="I74" s="4">
        <v>46709449905</v>
      </c>
      <c r="J74" s="4">
        <v>49354522136</v>
      </c>
      <c r="K74" s="4">
        <v>50038124529</v>
      </c>
      <c r="L74" s="4">
        <v>54233099030</v>
      </c>
      <c r="M74" s="6">
        <f>Table2[[#This Row],[2025]]/SUM(Table2[2025])</f>
        <v>3.4145131048694357E-3</v>
      </c>
      <c r="N74" s="4"/>
      <c r="O74" s="1" t="s">
        <v>66</v>
      </c>
      <c r="P74" s="4">
        <v>301252843</v>
      </c>
      <c r="Q74" s="4">
        <v>43956610</v>
      </c>
      <c r="R74" s="4">
        <v>25899640</v>
      </c>
      <c r="S74" s="4">
        <v>-122896062</v>
      </c>
      <c r="T74" s="4">
        <v>-49318664</v>
      </c>
      <c r="U74" s="4">
        <v>-12602293</v>
      </c>
      <c r="V74" s="4">
        <v>-29587882</v>
      </c>
      <c r="W74" s="4">
        <v>-10691332</v>
      </c>
      <c r="X74" s="4">
        <v>-235975779</v>
      </c>
      <c r="Y74" s="4">
        <v>610855734</v>
      </c>
      <c r="Z74" s="4">
        <v>45889744</v>
      </c>
    </row>
    <row r="75" spans="1:26" s="1" customFormat="1" ht="12.5" x14ac:dyDescent="0.25">
      <c r="A75" s="1" t="s">
        <v>238</v>
      </c>
      <c r="B75" s="4">
        <v>16037960813</v>
      </c>
      <c r="C75" s="4">
        <v>15582448752</v>
      </c>
      <c r="D75" s="4">
        <v>25713944718</v>
      </c>
      <c r="E75" s="4">
        <v>29124946579</v>
      </c>
      <c r="F75" s="4">
        <v>32867441406</v>
      </c>
      <c r="G75" s="4">
        <v>37424926436</v>
      </c>
      <c r="H75" s="4">
        <v>46351113531</v>
      </c>
      <c r="I75" s="4">
        <v>46309366325</v>
      </c>
      <c r="J75" s="4">
        <v>37152332080</v>
      </c>
      <c r="K75" s="4">
        <v>43360029179</v>
      </c>
      <c r="L75" s="4">
        <v>52397515744</v>
      </c>
      <c r="M75" s="6">
        <f>Table2[[#This Row],[2025]]/SUM(Table2[2025])</f>
        <v>3.2989448762926537E-3</v>
      </c>
      <c r="N75" s="4"/>
      <c r="O75" s="1" t="s">
        <v>67</v>
      </c>
      <c r="P75" s="4">
        <v>-21297356</v>
      </c>
      <c r="Q75" s="4">
        <v>122130773</v>
      </c>
      <c r="R75" s="4">
        <v>-28674635</v>
      </c>
      <c r="S75" s="4">
        <v>-19207814</v>
      </c>
      <c r="T75" s="4">
        <v>-5804373</v>
      </c>
      <c r="U75" s="4">
        <v>-54494656</v>
      </c>
      <c r="V75" s="4">
        <v>-4041511</v>
      </c>
      <c r="W75" s="4">
        <v>-6999542</v>
      </c>
      <c r="X75" s="4">
        <v>-44428380</v>
      </c>
      <c r="Y75" s="4">
        <v>-38893303</v>
      </c>
      <c r="Z75" s="4">
        <v>-25900990</v>
      </c>
    </row>
    <row r="76" spans="1:26" s="1" customFormat="1" ht="12.5" x14ac:dyDescent="0.25">
      <c r="A76" s="1" t="s">
        <v>287</v>
      </c>
      <c r="B76" s="1" t="s">
        <v>21</v>
      </c>
      <c r="C76" s="4">
        <v>963847</v>
      </c>
      <c r="D76" s="4">
        <v>110823021</v>
      </c>
      <c r="E76" s="4">
        <v>540328234</v>
      </c>
      <c r="F76" s="4">
        <v>11632472248</v>
      </c>
      <c r="G76" s="4">
        <v>16477350379</v>
      </c>
      <c r="H76" s="4">
        <v>24952462547</v>
      </c>
      <c r="I76" s="4">
        <v>30197064525</v>
      </c>
      <c r="J76" s="4">
        <v>38062250345</v>
      </c>
      <c r="K76" s="4">
        <v>44969688308</v>
      </c>
      <c r="L76" s="4">
        <v>52366319886</v>
      </c>
      <c r="M76" s="6">
        <f>Table2[[#This Row],[2025]]/SUM(Table2[2025])</f>
        <v>3.2969807866893705E-3</v>
      </c>
      <c r="N76" s="4"/>
      <c r="O76" s="1" t="s">
        <v>68</v>
      </c>
      <c r="P76" s="4">
        <v>247515593</v>
      </c>
      <c r="Q76" s="4">
        <v>-210911726</v>
      </c>
      <c r="R76" s="4">
        <v>121911632</v>
      </c>
      <c r="S76" s="4">
        <v>-16666081</v>
      </c>
      <c r="T76" s="4">
        <v>-47206785</v>
      </c>
      <c r="U76" s="4">
        <v>3294249</v>
      </c>
      <c r="V76" s="4">
        <v>-108557373</v>
      </c>
      <c r="W76" s="4">
        <v>44672860</v>
      </c>
      <c r="X76" s="4">
        <v>5396413</v>
      </c>
      <c r="Y76" s="4">
        <v>-3681831</v>
      </c>
      <c r="Z76" s="4">
        <v>17114949</v>
      </c>
    </row>
    <row r="77" spans="1:26" s="1" customFormat="1" ht="12.5" x14ac:dyDescent="0.25">
      <c r="A77" s="1" t="s">
        <v>162</v>
      </c>
      <c r="B77" s="4">
        <v>2198514445</v>
      </c>
      <c r="C77" s="4">
        <v>1794708924</v>
      </c>
      <c r="D77" s="4">
        <v>2375921875</v>
      </c>
      <c r="E77" s="4">
        <v>2040676316</v>
      </c>
      <c r="F77" s="4">
        <v>4934826193</v>
      </c>
      <c r="G77" s="4">
        <v>7489854427</v>
      </c>
      <c r="H77" s="4">
        <v>16572480084</v>
      </c>
      <c r="I77" s="4">
        <v>19990668237</v>
      </c>
      <c r="J77" s="4">
        <v>23968310432</v>
      </c>
      <c r="K77" s="4">
        <v>31492715689</v>
      </c>
      <c r="L77" s="4">
        <v>50315661248</v>
      </c>
      <c r="M77" s="6">
        <f>Table2[[#This Row],[2025]]/SUM(Table2[2025])</f>
        <v>3.1678714250946843E-3</v>
      </c>
      <c r="N77" s="4"/>
      <c r="O77" s="1" t="s">
        <v>69</v>
      </c>
      <c r="P77" s="4">
        <v>-75264663</v>
      </c>
      <c r="Q77" s="4">
        <v>96792805</v>
      </c>
      <c r="R77" s="4">
        <v>43744536</v>
      </c>
      <c r="S77" s="4">
        <v>70646839</v>
      </c>
      <c r="T77" s="4">
        <v>144043952</v>
      </c>
      <c r="U77" s="4">
        <v>904427246</v>
      </c>
      <c r="V77" s="4">
        <v>285697407</v>
      </c>
      <c r="W77" s="4">
        <v>1868768212</v>
      </c>
      <c r="X77" s="4">
        <v>1096270530</v>
      </c>
      <c r="Y77" s="4">
        <v>2363417598</v>
      </c>
      <c r="Z77" s="4">
        <v>-180184199</v>
      </c>
    </row>
    <row r="78" spans="1:26" s="1" customFormat="1" ht="12.5" x14ac:dyDescent="0.25">
      <c r="A78" s="1" t="s">
        <v>274</v>
      </c>
      <c r="B78" s="4">
        <v>134880548092</v>
      </c>
      <c r="C78" s="4">
        <v>121998518345</v>
      </c>
      <c r="D78" s="4">
        <v>117335216565</v>
      </c>
      <c r="E78" s="4">
        <v>100137578042</v>
      </c>
      <c r="F78" s="4">
        <v>99143015000</v>
      </c>
      <c r="G78" s="4">
        <v>44756797559</v>
      </c>
      <c r="H78" s="4">
        <v>42860727454</v>
      </c>
      <c r="I78" s="4">
        <v>40700028166</v>
      </c>
      <c r="J78" s="4">
        <v>48020849809</v>
      </c>
      <c r="K78" s="4">
        <v>45850635977</v>
      </c>
      <c r="L78" s="4">
        <v>49563966585</v>
      </c>
      <c r="M78" s="6">
        <f>Table2[[#This Row],[2025]]/SUM(Table2[2025])</f>
        <v>3.120544768060866E-3</v>
      </c>
      <c r="N78" s="4"/>
      <c r="O78" s="1" t="s">
        <v>70</v>
      </c>
      <c r="P78" s="4">
        <v>-29552164</v>
      </c>
      <c r="Q78" s="4">
        <v>-955416</v>
      </c>
      <c r="R78" s="4">
        <v>43912544</v>
      </c>
      <c r="S78" s="4">
        <v>169196137</v>
      </c>
      <c r="T78" s="4">
        <v>1484768471</v>
      </c>
      <c r="U78" s="4">
        <v>4537536735</v>
      </c>
      <c r="V78" s="4">
        <v>2358522465</v>
      </c>
      <c r="W78" s="4">
        <v>3247498924</v>
      </c>
      <c r="X78" s="4">
        <v>3275996854</v>
      </c>
      <c r="Y78" s="4">
        <v>-7703041507</v>
      </c>
      <c r="Z78" s="4">
        <v>-1473118716</v>
      </c>
    </row>
    <row r="79" spans="1:26" s="1" customFormat="1" ht="12.5" x14ac:dyDescent="0.25">
      <c r="A79" s="1" t="s">
        <v>217</v>
      </c>
      <c r="B79" s="4">
        <v>7908448125</v>
      </c>
      <c r="C79" s="4">
        <v>4602735696</v>
      </c>
      <c r="D79" s="4">
        <v>4401256236</v>
      </c>
      <c r="E79" s="4">
        <v>13763057442</v>
      </c>
      <c r="F79" s="4">
        <v>14231057753</v>
      </c>
      <c r="G79" s="4">
        <v>17414034653</v>
      </c>
      <c r="H79" s="4">
        <v>23689850946</v>
      </c>
      <c r="I79" s="4">
        <v>24652672772</v>
      </c>
      <c r="J79" s="4">
        <v>32678106888</v>
      </c>
      <c r="K79" s="4">
        <v>35661167685</v>
      </c>
      <c r="L79" s="4">
        <v>41327355630</v>
      </c>
      <c r="M79" s="6">
        <f>Table2[[#This Row],[2025]]/SUM(Table2[2025])</f>
        <v>2.6019681691097094E-3</v>
      </c>
      <c r="N79" s="4"/>
      <c r="O79" s="1" t="s">
        <v>71</v>
      </c>
      <c r="P79" s="4">
        <v>-24662847</v>
      </c>
      <c r="Q79" s="4">
        <v>73856481</v>
      </c>
      <c r="R79" s="4">
        <v>-8528698</v>
      </c>
      <c r="S79" s="4">
        <v>-7135536</v>
      </c>
      <c r="T79" s="4">
        <v>1236276</v>
      </c>
      <c r="U79" s="4">
        <v>-63656985</v>
      </c>
      <c r="V79" s="4">
        <v>46096156</v>
      </c>
      <c r="W79" s="4">
        <v>34412460</v>
      </c>
      <c r="X79" s="4">
        <v>-77509114</v>
      </c>
      <c r="Y79" s="4">
        <v>8945284</v>
      </c>
      <c r="Z79" s="4">
        <v>-6703675</v>
      </c>
    </row>
    <row r="80" spans="1:26" s="1" customFormat="1" ht="12.5" x14ac:dyDescent="0.25">
      <c r="A80" s="1" t="s">
        <v>203</v>
      </c>
      <c r="B80" s="4">
        <v>5336272533</v>
      </c>
      <c r="C80" s="4">
        <v>7010836016</v>
      </c>
      <c r="D80" s="4">
        <v>8757812673</v>
      </c>
      <c r="E80" s="4">
        <v>8781050095</v>
      </c>
      <c r="F80" s="4">
        <v>10658384932</v>
      </c>
      <c r="G80" s="4">
        <v>14904413614</v>
      </c>
      <c r="H80" s="4">
        <v>23744420085</v>
      </c>
      <c r="I80" s="4">
        <v>23323568965</v>
      </c>
      <c r="J80" s="4">
        <v>27908752551</v>
      </c>
      <c r="K80" s="4">
        <v>33086458806</v>
      </c>
      <c r="L80" s="4">
        <v>40585878738</v>
      </c>
      <c r="M80" s="6">
        <f>Table2[[#This Row],[2025]]/SUM(Table2[2025])</f>
        <v>2.5552848224086227E-3</v>
      </c>
      <c r="N80" s="4"/>
      <c r="O80" s="1" t="s">
        <v>72</v>
      </c>
      <c r="P80" s="4">
        <v>196348662</v>
      </c>
      <c r="Q80" s="4">
        <v>-115165365</v>
      </c>
      <c r="R80" s="4">
        <v>1486168</v>
      </c>
      <c r="S80" s="4">
        <v>32121337</v>
      </c>
      <c r="T80" s="4">
        <v>-121953437</v>
      </c>
      <c r="U80" s="4">
        <v>-5750287</v>
      </c>
      <c r="V80" s="4">
        <v>-16252832</v>
      </c>
      <c r="W80" s="4">
        <v>173361831</v>
      </c>
      <c r="X80" s="4">
        <v>-16770537</v>
      </c>
      <c r="Y80" s="4">
        <v>137888284</v>
      </c>
      <c r="Z80" s="4">
        <v>726147</v>
      </c>
    </row>
    <row r="81" spans="1:26" s="1" customFormat="1" ht="12.5" x14ac:dyDescent="0.25">
      <c r="A81" s="1" t="s">
        <v>211</v>
      </c>
      <c r="B81" s="4">
        <v>6047431851</v>
      </c>
      <c r="C81" s="4">
        <v>6077324581</v>
      </c>
      <c r="D81" s="4">
        <v>5520586435</v>
      </c>
      <c r="E81" s="4">
        <v>5088653543</v>
      </c>
      <c r="F81" s="4">
        <v>4969078070</v>
      </c>
      <c r="G81" s="4">
        <v>7301009097</v>
      </c>
      <c r="H81" s="4">
        <v>11107796242</v>
      </c>
      <c r="I81" s="4">
        <v>12815126229</v>
      </c>
      <c r="J81" s="4">
        <v>15490460838</v>
      </c>
      <c r="K81" s="4">
        <v>21739183164</v>
      </c>
      <c r="L81" s="4">
        <v>38552269581</v>
      </c>
      <c r="M81" s="6">
        <f>Table2[[#This Row],[2025]]/SUM(Table2[2025])</f>
        <v>2.4272488952542864E-3</v>
      </c>
      <c r="N81" s="4"/>
      <c r="O81" s="1" t="s">
        <v>73</v>
      </c>
      <c r="P81" s="4">
        <v>-28897300</v>
      </c>
      <c r="Q81" s="4">
        <v>638406195</v>
      </c>
      <c r="R81" s="4">
        <v>16906217</v>
      </c>
      <c r="S81" s="4">
        <v>35948231</v>
      </c>
      <c r="T81" s="4">
        <v>40358992</v>
      </c>
      <c r="U81" s="4">
        <v>64057730</v>
      </c>
      <c r="V81" s="4">
        <v>-73373797</v>
      </c>
      <c r="W81" s="4">
        <v>-98056019</v>
      </c>
      <c r="X81" s="4">
        <v>-65142694</v>
      </c>
      <c r="Y81" s="4">
        <v>-25900641</v>
      </c>
      <c r="Z81" s="4">
        <v>-46647662</v>
      </c>
    </row>
    <row r="82" spans="1:26" s="1" customFormat="1" ht="12.5" x14ac:dyDescent="0.25">
      <c r="A82" s="1" t="s">
        <v>178</v>
      </c>
      <c r="B82" s="4">
        <v>2746153160</v>
      </c>
      <c r="C82" s="4">
        <v>3381137293</v>
      </c>
      <c r="D82" s="4">
        <v>6793181453</v>
      </c>
      <c r="E82" s="4">
        <v>6605940816</v>
      </c>
      <c r="F82" s="4">
        <v>10113632738</v>
      </c>
      <c r="G82" s="4">
        <v>16186778368</v>
      </c>
      <c r="H82" s="4">
        <v>20155374263</v>
      </c>
      <c r="I82" s="4">
        <v>19846988902</v>
      </c>
      <c r="J82" s="4">
        <v>23592888577</v>
      </c>
      <c r="K82" s="4">
        <v>29360709117</v>
      </c>
      <c r="L82" s="4">
        <v>38353786313</v>
      </c>
      <c r="M82" s="6">
        <f>Table2[[#This Row],[2025]]/SUM(Table2[2025])</f>
        <v>2.4147523989853123E-3</v>
      </c>
      <c r="N82" s="4"/>
      <c r="O82" s="1" t="s">
        <v>74</v>
      </c>
      <c r="P82" s="4">
        <v>388773406</v>
      </c>
      <c r="Q82" s="4">
        <v>10579936</v>
      </c>
      <c r="R82" s="4">
        <v>-7155447</v>
      </c>
      <c r="S82" s="4">
        <v>3780989</v>
      </c>
      <c r="T82" s="4">
        <v>28502694</v>
      </c>
      <c r="U82" s="4">
        <v>-11762481</v>
      </c>
      <c r="V82" s="4">
        <v>13386921</v>
      </c>
      <c r="W82" s="4">
        <v>-3655444</v>
      </c>
      <c r="X82" s="4">
        <v>-24782132</v>
      </c>
      <c r="Y82" s="4">
        <v>-13796324</v>
      </c>
      <c r="Z82" s="4">
        <v>13057475</v>
      </c>
    </row>
    <row r="83" spans="1:26" s="1" customFormat="1" ht="12.5" x14ac:dyDescent="0.25">
      <c r="A83" s="1" t="s">
        <v>223</v>
      </c>
      <c r="B83" s="4">
        <v>9967368533</v>
      </c>
      <c r="C83" s="4">
        <v>12586108058</v>
      </c>
      <c r="D83" s="4">
        <v>11824303666</v>
      </c>
      <c r="E83" s="4">
        <v>9336077770</v>
      </c>
      <c r="F83" s="4">
        <v>11572460925</v>
      </c>
      <c r="G83" s="4">
        <v>15387025292</v>
      </c>
      <c r="H83" s="4">
        <v>19576142471</v>
      </c>
      <c r="I83" s="4">
        <v>21973304023</v>
      </c>
      <c r="J83" s="4">
        <v>25625368725</v>
      </c>
      <c r="K83" s="4">
        <v>32445957073</v>
      </c>
      <c r="L83" s="4">
        <v>37923935499</v>
      </c>
      <c r="M83" s="6">
        <f>Table2[[#This Row],[2025]]/SUM(Table2[2025])</f>
        <v>2.3876890140083649E-3</v>
      </c>
      <c r="N83" s="4"/>
      <c r="O83" s="1" t="s">
        <v>75</v>
      </c>
      <c r="P83" s="4">
        <v>150436382</v>
      </c>
      <c r="Q83" s="4">
        <v>83348485</v>
      </c>
      <c r="R83" s="4">
        <v>565350900</v>
      </c>
      <c r="S83" s="4">
        <v>-90097382</v>
      </c>
      <c r="T83" s="4">
        <v>-834535880</v>
      </c>
      <c r="U83" s="4">
        <v>844006</v>
      </c>
      <c r="V83" s="4">
        <v>-976725</v>
      </c>
      <c r="W83" s="4">
        <v>-64159362</v>
      </c>
      <c r="X83" s="4">
        <v>-65144915</v>
      </c>
      <c r="Y83" s="4">
        <v>-42263738</v>
      </c>
      <c r="Z83" s="4">
        <v>109958127</v>
      </c>
    </row>
    <row r="84" spans="1:26" s="1" customFormat="1" ht="12.5" x14ac:dyDescent="0.25">
      <c r="A84" s="1" t="s">
        <v>208</v>
      </c>
      <c r="B84" s="4">
        <v>5736954650</v>
      </c>
      <c r="C84" s="4">
        <v>6170694826</v>
      </c>
      <c r="D84" s="4">
        <v>12799674963</v>
      </c>
      <c r="E84" s="4">
        <v>14003041777</v>
      </c>
      <c r="F84" s="4">
        <v>15776481989</v>
      </c>
      <c r="G84" s="4">
        <v>18623450226</v>
      </c>
      <c r="H84" s="4">
        <v>21880576050</v>
      </c>
      <c r="I84" s="4">
        <v>20800009035</v>
      </c>
      <c r="J84" s="4">
        <v>24350816608</v>
      </c>
      <c r="K84" s="4">
        <v>28411609174</v>
      </c>
      <c r="L84" s="4">
        <v>36008263035</v>
      </c>
      <c r="M84" s="6">
        <f>Table2[[#This Row],[2025]]/SUM(Table2[2025])</f>
        <v>2.2670783749344811E-3</v>
      </c>
      <c r="N84" s="4"/>
      <c r="O84" s="1" t="s">
        <v>76</v>
      </c>
      <c r="P84" s="4">
        <v>1731891</v>
      </c>
      <c r="Q84" s="4">
        <v>12175403</v>
      </c>
      <c r="R84" s="4">
        <v>-353169888</v>
      </c>
      <c r="S84" s="4">
        <v>-10120512</v>
      </c>
      <c r="T84" s="4">
        <v>270819</v>
      </c>
      <c r="U84" s="4">
        <v>-18208951</v>
      </c>
      <c r="V84" s="4">
        <v>-5366748</v>
      </c>
      <c r="W84" s="4">
        <v>-13961501</v>
      </c>
      <c r="X84" s="4">
        <v>24066459</v>
      </c>
      <c r="Y84" s="4">
        <v>21770089</v>
      </c>
      <c r="Z84" s="4">
        <v>-32477743</v>
      </c>
    </row>
    <row r="85" spans="1:26" s="1" customFormat="1" ht="12.5" x14ac:dyDescent="0.25">
      <c r="A85" s="1" t="s">
        <v>221</v>
      </c>
      <c r="B85" s="4">
        <v>9706671228</v>
      </c>
      <c r="C85" s="4">
        <v>12862829632</v>
      </c>
      <c r="D85" s="4">
        <v>17516538506</v>
      </c>
      <c r="E85" s="4">
        <v>19828807755</v>
      </c>
      <c r="F85" s="4">
        <v>23512584165</v>
      </c>
      <c r="G85" s="4">
        <v>27316414184</v>
      </c>
      <c r="H85" s="4">
        <v>32072705039</v>
      </c>
      <c r="I85" s="4">
        <v>33046900811</v>
      </c>
      <c r="J85" s="4">
        <v>37086119566</v>
      </c>
      <c r="K85" s="4">
        <v>36428661616</v>
      </c>
      <c r="L85" s="4">
        <v>35823084937</v>
      </c>
      <c r="M85" s="6">
        <f>Table2[[#This Row],[2025]]/SUM(Table2[2025])</f>
        <v>2.2554195714793064E-3</v>
      </c>
      <c r="N85" s="4"/>
      <c r="O85" s="1" t="s">
        <v>77</v>
      </c>
      <c r="P85" s="4">
        <v>19922205</v>
      </c>
      <c r="Q85" s="4">
        <v>-32864537</v>
      </c>
      <c r="R85" s="4">
        <v>167383768</v>
      </c>
      <c r="S85" s="4">
        <v>110110961</v>
      </c>
      <c r="T85" s="4">
        <v>-47152191</v>
      </c>
      <c r="U85" s="4">
        <v>-47785293</v>
      </c>
      <c r="V85" s="4">
        <v>-137886768</v>
      </c>
      <c r="W85" s="4">
        <v>-45263820</v>
      </c>
      <c r="X85" s="4">
        <v>-132176436</v>
      </c>
      <c r="Y85" s="4">
        <v>-653379</v>
      </c>
      <c r="Z85" s="4">
        <v>-37031052</v>
      </c>
    </row>
    <row r="86" spans="1:26" s="1" customFormat="1" ht="12.5" x14ac:dyDescent="0.25">
      <c r="A86" s="1" t="s">
        <v>244</v>
      </c>
      <c r="B86" s="4">
        <v>21758328770</v>
      </c>
      <c r="C86" s="4">
        <v>23567433761</v>
      </c>
      <c r="D86" s="4">
        <v>28946526511</v>
      </c>
      <c r="E86" s="4">
        <v>27687305275</v>
      </c>
      <c r="F86" s="4">
        <v>30442900553</v>
      </c>
      <c r="G86" s="4">
        <v>26134483150</v>
      </c>
      <c r="H86" s="4">
        <v>30256065410</v>
      </c>
      <c r="I86" s="4">
        <v>30652181063</v>
      </c>
      <c r="J86" s="4">
        <v>34431765044</v>
      </c>
      <c r="K86" s="4">
        <v>30938484645</v>
      </c>
      <c r="L86" s="4">
        <v>35670141518</v>
      </c>
      <c r="M86" s="6">
        <f>Table2[[#This Row],[2025]]/SUM(Table2[2025])</f>
        <v>2.2457902617437487E-3</v>
      </c>
      <c r="N86" s="4"/>
      <c r="O86" s="1" t="s">
        <v>78</v>
      </c>
      <c r="P86" s="4">
        <v>155988209</v>
      </c>
      <c r="Q86" s="4">
        <v>491607180</v>
      </c>
      <c r="R86" s="4">
        <v>892335162</v>
      </c>
      <c r="S86" s="4">
        <v>665191276</v>
      </c>
      <c r="T86" s="4">
        <v>-182680627</v>
      </c>
      <c r="U86" s="4">
        <v>-120961923</v>
      </c>
      <c r="V86" s="4">
        <v>-92502175</v>
      </c>
      <c r="W86" s="4">
        <v>-64669788</v>
      </c>
      <c r="X86" s="4">
        <v>-31868610</v>
      </c>
      <c r="Y86" s="4">
        <v>-225064176</v>
      </c>
      <c r="Z86" s="4">
        <v>373411638</v>
      </c>
    </row>
    <row r="87" spans="1:26" s="1" customFormat="1" ht="12.5" x14ac:dyDescent="0.25">
      <c r="A87" s="1" t="s">
        <v>133</v>
      </c>
      <c r="B87" s="4">
        <v>1321334987</v>
      </c>
      <c r="C87" s="4">
        <v>1962431216</v>
      </c>
      <c r="D87" s="4">
        <v>5975537071</v>
      </c>
      <c r="E87" s="4">
        <v>7225151815</v>
      </c>
      <c r="F87" s="4">
        <v>8638972019</v>
      </c>
      <c r="G87" s="4">
        <v>11135154579</v>
      </c>
      <c r="H87" s="4">
        <v>15363687449</v>
      </c>
      <c r="I87" s="4">
        <v>12662599214</v>
      </c>
      <c r="J87" s="4">
        <v>15309633512</v>
      </c>
      <c r="K87" s="4">
        <v>21101342164</v>
      </c>
      <c r="L87" s="4">
        <v>35445649353</v>
      </c>
      <c r="M87" s="6">
        <f>Table2[[#This Row],[2025]]/SUM(Table2[2025])</f>
        <v>2.2316562466672919E-3</v>
      </c>
      <c r="N87" s="4"/>
      <c r="O87" s="1" t="s">
        <v>79</v>
      </c>
      <c r="P87" s="1" t="s">
        <v>21</v>
      </c>
      <c r="Q87" s="4">
        <v>121300890</v>
      </c>
      <c r="R87" s="4">
        <v>-2185511</v>
      </c>
      <c r="S87" s="4">
        <v>11907562</v>
      </c>
      <c r="T87" s="4">
        <v>1096212</v>
      </c>
      <c r="U87" s="4">
        <v>-69547575</v>
      </c>
      <c r="V87" s="4">
        <v>-657576</v>
      </c>
      <c r="W87" s="4">
        <v>-29242955</v>
      </c>
      <c r="X87" s="4">
        <v>-1600332</v>
      </c>
      <c r="Y87" s="4">
        <v>17078995</v>
      </c>
      <c r="Z87" s="4">
        <v>-37525768</v>
      </c>
    </row>
    <row r="88" spans="1:26" s="1" customFormat="1" ht="12.5" x14ac:dyDescent="0.25">
      <c r="A88" s="1" t="s">
        <v>196</v>
      </c>
      <c r="B88" s="4">
        <v>4510272674</v>
      </c>
      <c r="C88" s="4">
        <v>6717190342</v>
      </c>
      <c r="D88" s="4">
        <v>9603726191</v>
      </c>
      <c r="E88" s="4">
        <v>11560832980</v>
      </c>
      <c r="F88" s="4">
        <v>17262228873</v>
      </c>
      <c r="G88" s="4">
        <v>28997645508</v>
      </c>
      <c r="H88" s="4">
        <v>42813922355</v>
      </c>
      <c r="I88" s="4">
        <v>34000575797</v>
      </c>
      <c r="J88" s="4">
        <v>46964254287</v>
      </c>
      <c r="K88" s="4">
        <v>46025408629</v>
      </c>
      <c r="L88" s="4">
        <v>35332425498</v>
      </c>
      <c r="M88" s="7">
        <f>Table2[[#This Row],[2025]]/SUM(Table2[2025])</f>
        <v>2.224527678623126E-3</v>
      </c>
      <c r="O88" s="1" t="s">
        <v>80</v>
      </c>
      <c r="P88" s="1" t="s">
        <v>21</v>
      </c>
      <c r="Q88" s="1" t="s">
        <v>21</v>
      </c>
      <c r="R88" s="4">
        <v>113350565</v>
      </c>
      <c r="S88" s="4">
        <v>-110695780</v>
      </c>
      <c r="T88" s="1" t="s">
        <v>21</v>
      </c>
      <c r="U88" s="1" t="s">
        <v>21</v>
      </c>
      <c r="V88" s="1" t="s">
        <v>21</v>
      </c>
      <c r="W88" s="1" t="s">
        <v>21</v>
      </c>
      <c r="X88" s="1" t="s">
        <v>21</v>
      </c>
      <c r="Y88" s="1" t="s">
        <v>21</v>
      </c>
      <c r="Z88" s="1" t="s">
        <v>21</v>
      </c>
    </row>
    <row r="89" spans="1:26" s="1" customFormat="1" ht="12.5" x14ac:dyDescent="0.25">
      <c r="A89" s="1" t="s">
        <v>158</v>
      </c>
      <c r="B89" s="4">
        <v>1942958476</v>
      </c>
      <c r="C89" s="4">
        <v>1751440214</v>
      </c>
      <c r="D89" s="4">
        <v>1255843032</v>
      </c>
      <c r="E89" s="4">
        <v>1343946300</v>
      </c>
      <c r="F89" s="4">
        <v>2001925653</v>
      </c>
      <c r="G89" s="4">
        <v>1498253468</v>
      </c>
      <c r="H89" s="4">
        <v>1876616825</v>
      </c>
      <c r="I89" s="4">
        <v>426008416</v>
      </c>
      <c r="J89" s="4">
        <v>2698747128</v>
      </c>
      <c r="K89" s="4">
        <v>8190959545</v>
      </c>
      <c r="L89" s="4">
        <v>35303481131</v>
      </c>
      <c r="M89" s="6">
        <f>Table2[[#This Row],[2025]]/SUM(Table2[2025])</f>
        <v>2.222705342776543E-3</v>
      </c>
      <c r="N89" s="4"/>
      <c r="O89" s="1" t="s">
        <v>81</v>
      </c>
      <c r="P89" s="4">
        <v>-41305566</v>
      </c>
      <c r="Q89" s="4">
        <v>-83682339</v>
      </c>
      <c r="R89" s="4">
        <v>48811083</v>
      </c>
      <c r="S89" s="4">
        <v>-44352009</v>
      </c>
      <c r="T89" s="4">
        <v>16582263</v>
      </c>
      <c r="U89" s="4">
        <v>143991339</v>
      </c>
      <c r="V89" s="4">
        <v>646726907</v>
      </c>
      <c r="W89" s="4">
        <v>97693084</v>
      </c>
      <c r="X89" s="4">
        <v>81588561</v>
      </c>
      <c r="Y89" s="4">
        <v>275389568</v>
      </c>
      <c r="Z89" s="4">
        <v>579852743</v>
      </c>
    </row>
    <row r="90" spans="1:26" s="1" customFormat="1" ht="12.5" x14ac:dyDescent="0.25">
      <c r="A90" s="1" t="s">
        <v>252</v>
      </c>
      <c r="B90" s="4">
        <v>37494939192</v>
      </c>
      <c r="C90" s="4">
        <v>34340173187</v>
      </c>
      <c r="D90" s="4">
        <v>38722897691</v>
      </c>
      <c r="E90" s="4">
        <v>37142750544</v>
      </c>
      <c r="F90" s="4">
        <v>40762457997</v>
      </c>
      <c r="G90" s="4">
        <v>50093743991</v>
      </c>
      <c r="H90" s="4">
        <v>52287272801</v>
      </c>
      <c r="I90" s="4">
        <v>35021949464</v>
      </c>
      <c r="J90" s="4">
        <v>30213898117</v>
      </c>
      <c r="K90" s="4">
        <v>33602654480</v>
      </c>
      <c r="L90" s="4">
        <v>34680458373</v>
      </c>
      <c r="M90" s="6">
        <f>Table2[[#This Row],[2025]]/SUM(Table2[2025])</f>
        <v>2.1834798622144581E-3</v>
      </c>
      <c r="N90" s="4"/>
      <c r="O90" s="1" t="s">
        <v>82</v>
      </c>
      <c r="P90" s="4">
        <v>-18790454</v>
      </c>
      <c r="Q90" s="4">
        <v>5419318</v>
      </c>
      <c r="R90" s="4">
        <v>-151594573</v>
      </c>
      <c r="S90" s="4">
        <v>-252044052</v>
      </c>
      <c r="T90" s="4">
        <v>-5967953</v>
      </c>
      <c r="U90" s="4">
        <v>-1795058</v>
      </c>
      <c r="V90" s="4">
        <v>79778951</v>
      </c>
      <c r="W90" s="4">
        <v>11624426</v>
      </c>
      <c r="X90" s="4">
        <v>-25249830</v>
      </c>
      <c r="Y90" s="4">
        <v>-46271899</v>
      </c>
      <c r="Z90" s="4">
        <v>-14386510</v>
      </c>
    </row>
    <row r="91" spans="1:26" s="1" customFormat="1" ht="12.5" x14ac:dyDescent="0.25">
      <c r="A91" s="1" t="s">
        <v>213</v>
      </c>
      <c r="B91" s="4">
        <v>6353830515</v>
      </c>
      <c r="C91" s="4">
        <v>8056121604</v>
      </c>
      <c r="D91" s="4">
        <v>8465209824</v>
      </c>
      <c r="E91" s="4">
        <v>6775139769</v>
      </c>
      <c r="F91" s="4">
        <v>8169795609</v>
      </c>
      <c r="G91" s="4">
        <v>9878203391</v>
      </c>
      <c r="H91" s="4">
        <v>13304496431</v>
      </c>
      <c r="I91" s="4">
        <v>15979286779</v>
      </c>
      <c r="J91" s="4">
        <v>19971052167</v>
      </c>
      <c r="K91" s="4">
        <v>23686082263</v>
      </c>
      <c r="L91" s="4">
        <v>33506975793</v>
      </c>
      <c r="M91" s="6">
        <f>Table2[[#This Row],[2025]]/SUM(Table2[2025])</f>
        <v>2.1095974597810378E-3</v>
      </c>
      <c r="N91" s="4"/>
      <c r="O91" s="1" t="s">
        <v>83</v>
      </c>
      <c r="P91" s="4">
        <v>206971945</v>
      </c>
      <c r="Q91" s="4">
        <v>456097399</v>
      </c>
      <c r="R91" s="4">
        <v>373814388</v>
      </c>
      <c r="S91" s="4">
        <v>-254576735</v>
      </c>
      <c r="T91" s="4">
        <v>201082423</v>
      </c>
      <c r="U91" s="4">
        <v>162831500</v>
      </c>
      <c r="V91" s="4">
        <v>551749556</v>
      </c>
      <c r="W91" s="4">
        <v>447452030</v>
      </c>
      <c r="X91" s="4">
        <v>-231606984</v>
      </c>
      <c r="Y91" s="4">
        <v>-299870862</v>
      </c>
      <c r="Z91" s="4">
        <v>-465749824</v>
      </c>
    </row>
    <row r="92" spans="1:26" s="1" customFormat="1" ht="12.5" x14ac:dyDescent="0.25">
      <c r="A92" s="1" t="s">
        <v>249</v>
      </c>
      <c r="B92" s="4">
        <v>28938254353</v>
      </c>
      <c r="C92" s="4">
        <v>16466825914</v>
      </c>
      <c r="D92" s="4">
        <v>9234887536</v>
      </c>
      <c r="E92" s="4">
        <v>11088190126</v>
      </c>
      <c r="F92" s="4">
        <v>11993276641</v>
      </c>
      <c r="G92" s="4">
        <v>18550379136</v>
      </c>
      <c r="H92" s="4">
        <v>21955517266</v>
      </c>
      <c r="I92" s="4">
        <v>15235703224</v>
      </c>
      <c r="J92" s="4">
        <v>27911122385</v>
      </c>
      <c r="K92" s="4">
        <v>35663516244</v>
      </c>
      <c r="L92" s="4">
        <v>33491150037</v>
      </c>
      <c r="M92" s="6">
        <f>Table2[[#This Row],[2025]]/SUM(Table2[2025])</f>
        <v>2.1086010710032808E-3</v>
      </c>
      <c r="N92" s="4"/>
      <c r="O92" s="1" t="s">
        <v>84</v>
      </c>
      <c r="P92" s="4">
        <v>-18587124</v>
      </c>
      <c r="Q92" s="4">
        <v>-60949038</v>
      </c>
      <c r="R92" s="4">
        <v>-68074809</v>
      </c>
      <c r="S92" s="4">
        <v>-50937764</v>
      </c>
      <c r="T92" s="4">
        <v>-33025546</v>
      </c>
      <c r="U92" s="4">
        <v>-44637402</v>
      </c>
      <c r="V92" s="4">
        <v>-37958891</v>
      </c>
      <c r="W92" s="4">
        <v>-18256148</v>
      </c>
      <c r="X92" s="4">
        <v>-36965915</v>
      </c>
      <c r="Y92" s="4">
        <v>-28963070</v>
      </c>
      <c r="Z92" s="4">
        <v>-35917247</v>
      </c>
    </row>
    <row r="93" spans="1:26" s="1" customFormat="1" ht="12.5" x14ac:dyDescent="0.25">
      <c r="A93" s="1" t="s">
        <v>160</v>
      </c>
      <c r="B93" s="4">
        <v>2021498544</v>
      </c>
      <c r="C93" s="4">
        <v>2060329664</v>
      </c>
      <c r="D93" s="4">
        <v>2703931933</v>
      </c>
      <c r="E93" s="4">
        <v>3250334722</v>
      </c>
      <c r="F93" s="4">
        <v>7126435778</v>
      </c>
      <c r="G93" s="4">
        <v>8434596431</v>
      </c>
      <c r="H93" s="4">
        <v>13824423110</v>
      </c>
      <c r="I93" s="4">
        <v>17505131667</v>
      </c>
      <c r="J93" s="4">
        <v>20199641027</v>
      </c>
      <c r="K93" s="4">
        <v>23926418770</v>
      </c>
      <c r="L93" s="4">
        <v>32520493439</v>
      </c>
      <c r="M93" s="6">
        <f>Table2[[#This Row],[2025]]/SUM(Table2[2025])</f>
        <v>2.0474885818872594E-3</v>
      </c>
      <c r="N93" s="4"/>
      <c r="O93" s="1" t="s">
        <v>85</v>
      </c>
      <c r="P93" s="4">
        <v>27928753</v>
      </c>
      <c r="Q93" s="4">
        <v>78764255</v>
      </c>
      <c r="R93" s="4">
        <v>-24287499</v>
      </c>
      <c r="S93" s="4">
        <v>-31726508</v>
      </c>
      <c r="T93" s="4">
        <v>482168953</v>
      </c>
      <c r="U93" s="4">
        <v>71371865</v>
      </c>
      <c r="V93" s="4">
        <v>-472648890</v>
      </c>
      <c r="W93" s="4">
        <v>243569447</v>
      </c>
      <c r="X93" s="4">
        <v>-29324280</v>
      </c>
      <c r="Y93" s="4">
        <v>83585651</v>
      </c>
      <c r="Z93" s="4">
        <v>258150431</v>
      </c>
    </row>
    <row r="94" spans="1:26" s="1" customFormat="1" ht="12.5" x14ac:dyDescent="0.25">
      <c r="A94" s="1" t="s">
        <v>254</v>
      </c>
      <c r="B94" s="4">
        <v>45432285782</v>
      </c>
      <c r="C94" s="4">
        <v>41163763297</v>
      </c>
      <c r="D94" s="4">
        <v>34814869782</v>
      </c>
      <c r="E94" s="4">
        <v>30599334749</v>
      </c>
      <c r="F94" s="4">
        <v>30600447430</v>
      </c>
      <c r="G94" s="4">
        <v>30181393926</v>
      </c>
      <c r="H94" s="4">
        <v>32581897983</v>
      </c>
      <c r="I94" s="4">
        <v>33494656981</v>
      </c>
      <c r="J94" s="4">
        <v>32836421540</v>
      </c>
      <c r="K94" s="4">
        <v>31213241809</v>
      </c>
      <c r="L94" s="4">
        <v>31956310859</v>
      </c>
      <c r="M94" s="6">
        <f>Table2[[#This Row],[2025]]/SUM(Table2[2025])</f>
        <v>2.0119676758832816E-3</v>
      </c>
      <c r="N94" s="4"/>
      <c r="O94" s="1" t="s">
        <v>86</v>
      </c>
      <c r="P94" s="4">
        <v>-204875633</v>
      </c>
      <c r="Q94" s="4">
        <v>-90919417</v>
      </c>
      <c r="R94" s="4">
        <v>-78523498</v>
      </c>
      <c r="S94" s="4">
        <v>-36288606</v>
      </c>
      <c r="T94" s="4">
        <v>-55749477</v>
      </c>
      <c r="U94" s="4">
        <v>-18342014</v>
      </c>
      <c r="V94" s="4">
        <v>-27210589</v>
      </c>
      <c r="W94" s="4">
        <v>-27998165</v>
      </c>
      <c r="X94" s="4">
        <v>-42147312</v>
      </c>
      <c r="Y94" s="4">
        <v>-33575223</v>
      </c>
      <c r="Z94" s="4">
        <v>9449211</v>
      </c>
    </row>
    <row r="95" spans="1:26" s="1" customFormat="1" ht="12.5" x14ac:dyDescent="0.25">
      <c r="A95" s="1" t="s">
        <v>233</v>
      </c>
      <c r="B95" s="4">
        <v>13326682570</v>
      </c>
      <c r="C95" s="4">
        <v>12394481594</v>
      </c>
      <c r="D95" s="4">
        <v>22693194433</v>
      </c>
      <c r="E95" s="4">
        <v>20554126494</v>
      </c>
      <c r="F95" s="4">
        <v>18471256375</v>
      </c>
      <c r="G95" s="4">
        <v>17214475358</v>
      </c>
      <c r="H95" s="4">
        <v>18427636160</v>
      </c>
      <c r="I95" s="4">
        <v>18759028768</v>
      </c>
      <c r="J95" s="4">
        <v>21298831944</v>
      </c>
      <c r="K95" s="4">
        <v>21502334135</v>
      </c>
      <c r="L95" s="4">
        <v>31440326233</v>
      </c>
      <c r="M95" s="6">
        <f>Table2[[#This Row],[2025]]/SUM(Table2[2025])</f>
        <v>1.9794813105657922E-3</v>
      </c>
      <c r="N95" s="4"/>
      <c r="O95" s="1" t="s">
        <v>87</v>
      </c>
      <c r="P95" s="1" t="s">
        <v>21</v>
      </c>
      <c r="Q95" s="4">
        <v>1878918</v>
      </c>
      <c r="R95" s="4">
        <v>36152825</v>
      </c>
      <c r="S95" s="4">
        <v>-76861451</v>
      </c>
      <c r="T95" s="4">
        <v>230433416</v>
      </c>
      <c r="U95" s="4">
        <v>-11140052</v>
      </c>
      <c r="V95" s="4">
        <v>128472862</v>
      </c>
      <c r="W95" s="4">
        <v>726793548</v>
      </c>
      <c r="X95" s="4">
        <v>-140356909</v>
      </c>
      <c r="Y95" s="4">
        <v>555441514</v>
      </c>
      <c r="Z95" s="4">
        <v>318106377</v>
      </c>
    </row>
    <row r="96" spans="1:26" s="1" customFormat="1" ht="12.5" x14ac:dyDescent="0.25">
      <c r="A96" s="1" t="s">
        <v>293</v>
      </c>
      <c r="B96" s="1" t="s">
        <v>21</v>
      </c>
      <c r="C96" s="4">
        <v>1362922786</v>
      </c>
      <c r="D96" s="4">
        <v>1502948404</v>
      </c>
      <c r="E96" s="4">
        <v>1616890832</v>
      </c>
      <c r="F96" s="4">
        <v>1801029375</v>
      </c>
      <c r="G96" s="4">
        <v>2339782796</v>
      </c>
      <c r="H96" s="4">
        <v>5105325595</v>
      </c>
      <c r="I96" s="4">
        <v>8072834461</v>
      </c>
      <c r="J96" s="4">
        <v>12330727263</v>
      </c>
      <c r="K96" s="4">
        <v>19171860743</v>
      </c>
      <c r="L96" s="4">
        <v>30023559654</v>
      </c>
      <c r="M96" s="6">
        <f>Table2[[#This Row],[2025]]/SUM(Table2[2025])</f>
        <v>1.8902817601609639E-3</v>
      </c>
      <c r="N96" s="4"/>
      <c r="O96" s="1" t="s">
        <v>88</v>
      </c>
      <c r="P96" s="4">
        <v>127980669</v>
      </c>
      <c r="Q96" s="4">
        <v>305937647</v>
      </c>
      <c r="R96" s="4">
        <v>348693060</v>
      </c>
      <c r="S96" s="4">
        <v>497008921</v>
      </c>
      <c r="T96" s="4">
        <v>710085629</v>
      </c>
      <c r="U96" s="4">
        <v>75926102</v>
      </c>
      <c r="V96" s="4">
        <v>98489008</v>
      </c>
      <c r="W96" s="4">
        <v>234117823</v>
      </c>
      <c r="X96" s="4">
        <v>961621324</v>
      </c>
      <c r="Y96" s="4">
        <v>580809798</v>
      </c>
      <c r="Z96" s="4">
        <v>645260237</v>
      </c>
    </row>
    <row r="97" spans="1:26" s="1" customFormat="1" ht="12.5" x14ac:dyDescent="0.25">
      <c r="A97" s="1" t="s">
        <v>194</v>
      </c>
      <c r="B97" s="4">
        <v>4325833823</v>
      </c>
      <c r="C97" s="4">
        <v>5192492397</v>
      </c>
      <c r="D97" s="4">
        <v>7727093797</v>
      </c>
      <c r="E97" s="4">
        <v>14470126387</v>
      </c>
      <c r="F97" s="4">
        <v>24121403509</v>
      </c>
      <c r="G97" s="4">
        <v>39809682133</v>
      </c>
      <c r="H97" s="4">
        <v>59290951423</v>
      </c>
      <c r="I97" s="4">
        <v>38847994364</v>
      </c>
      <c r="J97" s="4">
        <v>55492662631</v>
      </c>
      <c r="K97" s="4">
        <v>46302374380</v>
      </c>
      <c r="L97" s="4">
        <v>28871797258</v>
      </c>
      <c r="M97" s="6">
        <f>Table2[[#This Row],[2025]]/SUM(Table2[2025])</f>
        <v>1.8177668593867637E-3</v>
      </c>
      <c r="N97" s="4"/>
      <c r="O97" s="1" t="s">
        <v>89</v>
      </c>
      <c r="P97" s="4">
        <v>22188439</v>
      </c>
      <c r="Q97" s="4">
        <v>43125031</v>
      </c>
      <c r="R97" s="4">
        <v>-118648479</v>
      </c>
      <c r="S97" s="4">
        <v>-113718202</v>
      </c>
      <c r="T97" s="4">
        <v>18280634</v>
      </c>
      <c r="U97" s="4">
        <v>-62730924</v>
      </c>
      <c r="V97" s="4">
        <v>54373826</v>
      </c>
      <c r="W97" s="4">
        <v>-46985428</v>
      </c>
      <c r="X97" s="4">
        <v>-123458286</v>
      </c>
      <c r="Y97" s="4">
        <v>3672264</v>
      </c>
      <c r="Z97" s="4">
        <v>147211044</v>
      </c>
    </row>
    <row r="98" spans="1:26" s="1" customFormat="1" ht="12.5" x14ac:dyDescent="0.25">
      <c r="A98" s="1" t="s">
        <v>284</v>
      </c>
      <c r="B98" s="1" t="s">
        <v>21</v>
      </c>
      <c r="C98" s="4">
        <v>3161508780</v>
      </c>
      <c r="D98" s="4">
        <v>6304055180</v>
      </c>
      <c r="E98" s="4">
        <v>9046468532</v>
      </c>
      <c r="F98" s="4">
        <v>13948579465</v>
      </c>
      <c r="G98" s="4">
        <v>25876336567</v>
      </c>
      <c r="H98" s="4">
        <v>37131214653</v>
      </c>
      <c r="I98" s="4">
        <v>21516812449</v>
      </c>
      <c r="J98" s="4">
        <v>25221355819</v>
      </c>
      <c r="K98" s="4">
        <v>21046238490</v>
      </c>
      <c r="L98" s="4">
        <v>27583104549</v>
      </c>
      <c r="M98" s="6">
        <f>Table2[[#This Row],[2025]]/SUM(Table2[2025])</f>
        <v>1.7366308332010553E-3</v>
      </c>
      <c r="N98" s="4"/>
      <c r="O98" s="1" t="s">
        <v>90</v>
      </c>
      <c r="P98" s="4">
        <v>75742558</v>
      </c>
      <c r="Q98" s="4">
        <v>653767821</v>
      </c>
      <c r="R98" s="4">
        <v>445667746</v>
      </c>
      <c r="S98" s="4">
        <v>732595675</v>
      </c>
      <c r="T98" s="4">
        <v>300036795</v>
      </c>
      <c r="U98" s="4">
        <v>632889923</v>
      </c>
      <c r="V98" s="4">
        <v>197806032</v>
      </c>
      <c r="W98" s="4">
        <v>448163720</v>
      </c>
      <c r="X98" s="4">
        <v>-357244340</v>
      </c>
      <c r="Y98" s="4">
        <v>-680163776</v>
      </c>
      <c r="Z98" s="4">
        <v>819391867</v>
      </c>
    </row>
    <row r="99" spans="1:26" s="1" customFormat="1" ht="12.5" x14ac:dyDescent="0.25">
      <c r="A99" s="1" t="s">
        <v>436</v>
      </c>
      <c r="B99" s="1" t="s">
        <v>21</v>
      </c>
      <c r="C99" s="1" t="s">
        <v>21</v>
      </c>
      <c r="D99" s="1" t="s">
        <v>21</v>
      </c>
      <c r="E99" s="1" t="s">
        <v>21</v>
      </c>
      <c r="F99" s="1" t="s">
        <v>21</v>
      </c>
      <c r="G99" s="1" t="s">
        <v>21</v>
      </c>
      <c r="H99" s="1" t="s">
        <v>21</v>
      </c>
      <c r="I99" s="4">
        <v>12089005299</v>
      </c>
      <c r="J99" s="4">
        <v>21186587454</v>
      </c>
      <c r="K99" s="4">
        <v>29676991182</v>
      </c>
      <c r="L99" s="4">
        <v>26746738737</v>
      </c>
      <c r="M99" s="6">
        <f>Table2[[#This Row],[2025]]/SUM(Table2[2025])</f>
        <v>1.683973285013388E-3</v>
      </c>
      <c r="N99" s="4"/>
      <c r="O99" s="1" t="s">
        <v>91</v>
      </c>
      <c r="P99" s="4">
        <v>-1144162</v>
      </c>
      <c r="Q99" s="4">
        <v>-4370862</v>
      </c>
      <c r="R99" s="4">
        <v>1213924254</v>
      </c>
      <c r="S99" s="4">
        <v>-2890727</v>
      </c>
      <c r="T99" s="4">
        <v>-288243714</v>
      </c>
      <c r="U99" s="4">
        <v>-123127533</v>
      </c>
      <c r="V99" s="4">
        <v>-258045105</v>
      </c>
      <c r="W99" s="4">
        <v>-84636240</v>
      </c>
      <c r="X99" s="4">
        <v>-163968689</v>
      </c>
      <c r="Y99" s="4">
        <v>-181648784</v>
      </c>
      <c r="Z99" s="4">
        <v>296841030</v>
      </c>
    </row>
    <row r="100" spans="1:26" s="1" customFormat="1" ht="12.5" x14ac:dyDescent="0.25">
      <c r="A100" s="1" t="s">
        <v>147</v>
      </c>
      <c r="B100" s="4">
        <v>1676784032</v>
      </c>
      <c r="C100" s="4">
        <v>2209406852</v>
      </c>
      <c r="D100" s="4">
        <v>2702211992</v>
      </c>
      <c r="E100" s="4">
        <v>3348673621</v>
      </c>
      <c r="F100" s="4">
        <v>5186759412</v>
      </c>
      <c r="G100" s="4">
        <v>6584301932</v>
      </c>
      <c r="H100" s="4">
        <v>11137550606</v>
      </c>
      <c r="I100" s="4">
        <v>12389444161</v>
      </c>
      <c r="J100" s="4">
        <v>15352187302</v>
      </c>
      <c r="K100" s="4">
        <v>19980789226</v>
      </c>
      <c r="L100" s="4">
        <v>25564629244</v>
      </c>
      <c r="M100" s="6">
        <f>Table2[[#This Row],[2025]]/SUM(Table2[2025])</f>
        <v>1.6095477325844866E-3</v>
      </c>
      <c r="N100" s="4"/>
      <c r="O100" s="1" t="s">
        <v>92</v>
      </c>
      <c r="P100" s="4">
        <v>-22547525</v>
      </c>
      <c r="Q100" s="4">
        <v>19073515</v>
      </c>
      <c r="R100" s="4">
        <v>47882516</v>
      </c>
      <c r="S100" s="4">
        <v>428345</v>
      </c>
      <c r="T100" s="4">
        <v>9918361</v>
      </c>
      <c r="U100" s="4">
        <v>64272412</v>
      </c>
      <c r="V100" s="4">
        <v>104286803</v>
      </c>
      <c r="W100" s="4">
        <v>28117998</v>
      </c>
      <c r="X100" s="4">
        <v>1173933</v>
      </c>
      <c r="Y100" s="4">
        <v>71020197</v>
      </c>
      <c r="Z100" s="4">
        <v>97588310</v>
      </c>
    </row>
    <row r="101" spans="1:26" s="1" customFormat="1" ht="12.5" x14ac:dyDescent="0.25">
      <c r="A101" s="1" t="s">
        <v>214</v>
      </c>
      <c r="B101" s="4">
        <v>6661606298</v>
      </c>
      <c r="C101" s="4">
        <v>6196014713</v>
      </c>
      <c r="D101" s="4">
        <v>8415790268</v>
      </c>
      <c r="E101" s="4">
        <v>8990159582</v>
      </c>
      <c r="F101" s="4">
        <v>13680482287</v>
      </c>
      <c r="G101" s="4">
        <v>16270796148</v>
      </c>
      <c r="H101" s="4">
        <v>17700188023</v>
      </c>
      <c r="I101" s="4">
        <v>17449190653</v>
      </c>
      <c r="J101" s="4">
        <v>18190130595</v>
      </c>
      <c r="K101" s="4">
        <v>19977111084</v>
      </c>
      <c r="L101" s="4">
        <v>24538531148</v>
      </c>
      <c r="M101" s="6">
        <f>Table2[[#This Row],[2025]]/SUM(Table2[2025])</f>
        <v>1.5449446496270571E-3</v>
      </c>
      <c r="N101" s="4"/>
      <c r="O101" s="1" t="s">
        <v>93</v>
      </c>
      <c r="P101" s="4">
        <v>-17612142</v>
      </c>
      <c r="Q101" s="4">
        <v>-19758938</v>
      </c>
      <c r="R101" s="4">
        <v>-39703026</v>
      </c>
      <c r="S101" s="4">
        <v>-102033729</v>
      </c>
      <c r="T101" s="4">
        <v>-30382094</v>
      </c>
      <c r="U101" s="4">
        <v>-72186556</v>
      </c>
      <c r="V101" s="4">
        <v>-15998502</v>
      </c>
      <c r="W101" s="4">
        <v>-10096086</v>
      </c>
      <c r="X101" s="4">
        <v>-5472403</v>
      </c>
      <c r="Y101" s="4">
        <v>-9423985</v>
      </c>
      <c r="Z101" s="4">
        <v>-10367803</v>
      </c>
    </row>
    <row r="102" spans="1:26" s="1" customFormat="1" ht="12.5" x14ac:dyDescent="0.25">
      <c r="A102" s="1" t="s">
        <v>236</v>
      </c>
      <c r="B102" s="4">
        <v>15615809785</v>
      </c>
      <c r="C102" s="4">
        <v>12145717977</v>
      </c>
      <c r="D102" s="4">
        <v>11489783896</v>
      </c>
      <c r="E102" s="4">
        <v>13692513734</v>
      </c>
      <c r="F102" s="4">
        <v>26238840921</v>
      </c>
      <c r="G102" s="4">
        <v>31608331219</v>
      </c>
      <c r="H102" s="4">
        <v>30051433629</v>
      </c>
      <c r="I102" s="4">
        <v>23211820880</v>
      </c>
      <c r="J102" s="4">
        <v>26841788254</v>
      </c>
      <c r="K102" s="4">
        <v>26757743322</v>
      </c>
      <c r="L102" s="4">
        <v>24204935246</v>
      </c>
      <c r="M102" s="6">
        <f>Table2[[#This Row],[2025]]/SUM(Table2[2025])</f>
        <v>1.5239414689222324E-3</v>
      </c>
      <c r="N102" s="4"/>
      <c r="O102" s="1" t="s">
        <v>94</v>
      </c>
      <c r="P102" s="4">
        <v>-421969455</v>
      </c>
      <c r="Q102" s="4">
        <v>-136880565</v>
      </c>
      <c r="R102" s="4">
        <v>207143214</v>
      </c>
      <c r="S102" s="4">
        <v>-57167872</v>
      </c>
      <c r="T102" s="4">
        <v>-63615812</v>
      </c>
      <c r="U102" s="4">
        <v>-182207839</v>
      </c>
      <c r="V102" s="4">
        <v>-69940840</v>
      </c>
      <c r="W102" s="4">
        <v>-2658600</v>
      </c>
      <c r="X102" s="4">
        <v>-17672096</v>
      </c>
      <c r="Y102" s="4">
        <v>-14037258</v>
      </c>
      <c r="Z102" s="4">
        <v>-43543579</v>
      </c>
    </row>
    <row r="103" spans="1:26" s="1" customFormat="1" ht="12.5" x14ac:dyDescent="0.25">
      <c r="A103" s="1" t="s">
        <v>156</v>
      </c>
      <c r="B103" s="4">
        <v>1791136113</v>
      </c>
      <c r="C103" s="4">
        <v>2489109306</v>
      </c>
      <c r="D103" s="4">
        <v>3850491891</v>
      </c>
      <c r="E103" s="4">
        <v>4673883517</v>
      </c>
      <c r="F103" s="4">
        <v>8656802276</v>
      </c>
      <c r="G103" s="4">
        <v>14105187105</v>
      </c>
      <c r="H103" s="4">
        <v>19397147564</v>
      </c>
      <c r="I103" s="4">
        <v>22721915306</v>
      </c>
      <c r="J103" s="4">
        <v>19075111634</v>
      </c>
      <c r="K103" s="4">
        <v>19746406898</v>
      </c>
      <c r="L103" s="4">
        <v>23640313485</v>
      </c>
      <c r="M103" s="6">
        <f>Table2[[#This Row],[2025]]/SUM(Table2[2025])</f>
        <v>1.4883929121052505E-3</v>
      </c>
      <c r="N103" s="4"/>
      <c r="O103" s="1" t="s">
        <v>95</v>
      </c>
      <c r="P103" s="4">
        <v>125791254</v>
      </c>
      <c r="Q103" s="4">
        <v>86375308</v>
      </c>
      <c r="R103" s="4">
        <v>-4658230</v>
      </c>
      <c r="S103" s="4">
        <v>64117490</v>
      </c>
      <c r="T103" s="4">
        <v>48073004</v>
      </c>
      <c r="U103" s="4">
        <v>10164036</v>
      </c>
      <c r="V103" s="4">
        <v>65760705</v>
      </c>
      <c r="W103" s="4">
        <v>25517323</v>
      </c>
      <c r="X103" s="4">
        <v>364370</v>
      </c>
      <c r="Y103" s="4">
        <v>14861802</v>
      </c>
      <c r="Z103" s="4">
        <v>87528360</v>
      </c>
    </row>
    <row r="104" spans="1:26" s="1" customFormat="1" ht="12.5" x14ac:dyDescent="0.25">
      <c r="A104" s="1" t="s">
        <v>149</v>
      </c>
      <c r="B104" s="4">
        <v>1679940943</v>
      </c>
      <c r="C104" s="4">
        <v>1429846879</v>
      </c>
      <c r="D104" s="4">
        <v>1467939222</v>
      </c>
      <c r="E104" s="4">
        <v>2449230101</v>
      </c>
      <c r="F104" s="4">
        <v>4946040555</v>
      </c>
      <c r="G104" s="4">
        <v>7725302647</v>
      </c>
      <c r="H104" s="4">
        <v>12111929205</v>
      </c>
      <c r="I104" s="4">
        <v>12348996648</v>
      </c>
      <c r="J104" s="4">
        <v>15056686879</v>
      </c>
      <c r="K104" s="4">
        <v>19986150537</v>
      </c>
      <c r="L104" s="4">
        <v>23406501411</v>
      </c>
      <c r="M104" s="6">
        <f>Table2[[#This Row],[2025]]/SUM(Table2[2025])</f>
        <v>1.4736721160410597E-3</v>
      </c>
      <c r="N104" s="4"/>
      <c r="O104" s="1" t="s">
        <v>96</v>
      </c>
      <c r="P104" s="4">
        <v>179361124</v>
      </c>
      <c r="Q104" s="4">
        <v>218515359</v>
      </c>
      <c r="R104" s="4">
        <v>-12551555</v>
      </c>
      <c r="S104" s="4">
        <v>-169621353</v>
      </c>
      <c r="T104" s="4">
        <v>-31660381</v>
      </c>
      <c r="U104" s="4">
        <v>-102001281</v>
      </c>
      <c r="V104" s="4">
        <v>-49480051</v>
      </c>
      <c r="W104" s="4">
        <v>-48681023</v>
      </c>
      <c r="X104" s="4">
        <v>-3839084</v>
      </c>
      <c r="Y104" s="4">
        <v>43431119</v>
      </c>
      <c r="Z104" s="4">
        <v>71900048</v>
      </c>
    </row>
    <row r="105" spans="1:26" s="1" customFormat="1" ht="12.5" x14ac:dyDescent="0.25">
      <c r="A105" s="1" t="s">
        <v>235</v>
      </c>
      <c r="B105" s="4">
        <v>14939990114</v>
      </c>
      <c r="C105" s="4">
        <v>14707267653</v>
      </c>
      <c r="D105" s="4">
        <v>15320360585</v>
      </c>
      <c r="E105" s="4">
        <v>15563443998</v>
      </c>
      <c r="F105" s="4">
        <v>18426839001</v>
      </c>
      <c r="G105" s="4">
        <v>23615869758</v>
      </c>
      <c r="H105" s="4">
        <v>24989768760</v>
      </c>
      <c r="I105" s="4">
        <v>22655596383</v>
      </c>
      <c r="J105" s="4">
        <v>22710401517</v>
      </c>
      <c r="K105" s="4">
        <v>22679425950</v>
      </c>
      <c r="L105" s="4">
        <v>23352914098</v>
      </c>
      <c r="M105" s="6">
        <f>Table2[[#This Row],[2025]]/SUM(Table2[2025])</f>
        <v>1.4702982615911781E-3</v>
      </c>
      <c r="N105" s="4"/>
      <c r="O105" s="1" t="s">
        <v>97</v>
      </c>
      <c r="P105" s="4">
        <v>187316916</v>
      </c>
      <c r="Q105" s="4">
        <v>49010801</v>
      </c>
      <c r="R105" s="4">
        <v>-25667365</v>
      </c>
      <c r="S105" s="4">
        <v>10214334</v>
      </c>
      <c r="T105" s="4">
        <v>11518547</v>
      </c>
      <c r="U105" s="4">
        <v>145087042</v>
      </c>
      <c r="V105" s="4">
        <v>-34683908</v>
      </c>
      <c r="W105" s="4">
        <v>59543791</v>
      </c>
      <c r="X105" s="4">
        <v>18817063</v>
      </c>
      <c r="Y105" s="4">
        <v>43650208</v>
      </c>
      <c r="Z105" s="4">
        <v>-90674227</v>
      </c>
    </row>
    <row r="106" spans="1:26" s="1" customFormat="1" ht="12.5" x14ac:dyDescent="0.25">
      <c r="A106" s="1" t="s">
        <v>199</v>
      </c>
      <c r="B106" s="4">
        <v>5072635002</v>
      </c>
      <c r="C106" s="4">
        <v>5270423015</v>
      </c>
      <c r="D106" s="4">
        <v>5412926747</v>
      </c>
      <c r="E106" s="4">
        <v>7762748872</v>
      </c>
      <c r="F106" s="4">
        <v>9906646943</v>
      </c>
      <c r="G106" s="4">
        <v>14301372920</v>
      </c>
      <c r="H106" s="4">
        <v>12898281109</v>
      </c>
      <c r="I106" s="4">
        <v>9903136892</v>
      </c>
      <c r="J106" s="4">
        <v>17081459740</v>
      </c>
      <c r="K106" s="4">
        <v>19528353117</v>
      </c>
      <c r="L106" s="4">
        <v>22981792111</v>
      </c>
      <c r="M106" s="6">
        <f>Table2[[#This Row],[2025]]/SUM(Table2[2025])</f>
        <v>1.4469324405191476E-3</v>
      </c>
      <c r="N106" s="4"/>
      <c r="O106" s="1" t="s">
        <v>98</v>
      </c>
      <c r="P106" s="4">
        <v>55576088</v>
      </c>
      <c r="Q106" s="4">
        <v>-20444689</v>
      </c>
      <c r="R106" s="4">
        <v>142092066</v>
      </c>
      <c r="S106" s="4">
        <v>4892297</v>
      </c>
      <c r="T106" s="4">
        <v>45406761</v>
      </c>
      <c r="U106" s="4">
        <v>80701264</v>
      </c>
      <c r="V106" s="4">
        <v>951107559</v>
      </c>
      <c r="W106" s="4">
        <v>-94527231</v>
      </c>
      <c r="X106" s="4">
        <v>-55520058</v>
      </c>
      <c r="Y106" s="4">
        <v>-31957367</v>
      </c>
      <c r="Z106" s="4">
        <v>24682515</v>
      </c>
    </row>
    <row r="107" spans="1:26" s="1" customFormat="1" ht="12.5" x14ac:dyDescent="0.25">
      <c r="A107" s="1" t="s">
        <v>237</v>
      </c>
      <c r="B107" s="4">
        <v>15681600366</v>
      </c>
      <c r="C107" s="4">
        <v>12674032364</v>
      </c>
      <c r="D107" s="4">
        <v>14496235809</v>
      </c>
      <c r="E107" s="4">
        <v>14777889879</v>
      </c>
      <c r="F107" s="4">
        <v>21142453143</v>
      </c>
      <c r="G107" s="4">
        <v>24474522995</v>
      </c>
      <c r="H107" s="4">
        <v>31202060585</v>
      </c>
      <c r="I107" s="4">
        <v>27329305888</v>
      </c>
      <c r="J107" s="4">
        <v>27487536689</v>
      </c>
      <c r="K107" s="4">
        <v>27135478532</v>
      </c>
      <c r="L107" s="4">
        <v>22519603293</v>
      </c>
      <c r="M107" s="6">
        <f>Table2[[#This Row],[2025]]/SUM(Table2[2025])</f>
        <v>1.4178330564859369E-3</v>
      </c>
      <c r="N107" s="4"/>
      <c r="O107" s="1" t="s">
        <v>99</v>
      </c>
      <c r="P107" s="4">
        <v>-115730584</v>
      </c>
      <c r="Q107" s="4">
        <v>28691460</v>
      </c>
      <c r="R107" s="4">
        <v>-100241561</v>
      </c>
      <c r="S107" s="4">
        <v>482011259</v>
      </c>
      <c r="T107" s="4">
        <v>218825934</v>
      </c>
      <c r="U107" s="4">
        <v>514827427</v>
      </c>
      <c r="V107" s="4">
        <v>-745319029</v>
      </c>
      <c r="W107" s="4">
        <v>390466417</v>
      </c>
      <c r="X107" s="4">
        <v>2014183154</v>
      </c>
      <c r="Y107" s="4">
        <v>1640849238</v>
      </c>
      <c r="Z107" s="4">
        <v>2359166549</v>
      </c>
    </row>
    <row r="108" spans="1:26" s="1" customFormat="1" ht="12.5" x14ac:dyDescent="0.25">
      <c r="A108" s="1" t="s">
        <v>166</v>
      </c>
      <c r="B108" s="4">
        <v>2330794415</v>
      </c>
      <c r="C108" s="4">
        <v>2411576510</v>
      </c>
      <c r="D108" s="4">
        <v>4879129966</v>
      </c>
      <c r="E108" s="4">
        <v>5070374105</v>
      </c>
      <c r="F108" s="4">
        <v>4381793500</v>
      </c>
      <c r="G108" s="4">
        <v>3067812605</v>
      </c>
      <c r="H108" s="4">
        <v>3659169050</v>
      </c>
      <c r="I108" s="4">
        <v>3132961294</v>
      </c>
      <c r="J108" s="4">
        <v>3653678090</v>
      </c>
      <c r="K108" s="4">
        <v>7668612507</v>
      </c>
      <c r="L108" s="4">
        <v>22345537971</v>
      </c>
      <c r="M108" s="6">
        <f>Table2[[#This Row],[2025]]/SUM(Table2[2025])</f>
        <v>1.4068739128319195E-3</v>
      </c>
      <c r="N108" s="4"/>
      <c r="O108" s="1" t="s">
        <v>100</v>
      </c>
      <c r="P108" s="4">
        <v>495747768</v>
      </c>
      <c r="Q108" s="4">
        <v>177479595</v>
      </c>
      <c r="R108" s="4">
        <v>111799933</v>
      </c>
      <c r="S108" s="4">
        <v>-73368728</v>
      </c>
      <c r="T108" s="4">
        <v>13142857</v>
      </c>
      <c r="U108" s="4">
        <v>-34287738</v>
      </c>
      <c r="V108" s="4">
        <v>61229081</v>
      </c>
      <c r="W108" s="4">
        <v>200085513</v>
      </c>
      <c r="X108" s="4">
        <v>55284902</v>
      </c>
      <c r="Y108" s="4">
        <v>109323235</v>
      </c>
      <c r="Z108" s="4">
        <v>13291882</v>
      </c>
    </row>
    <row r="109" spans="1:26" s="1" customFormat="1" ht="12.5" x14ac:dyDescent="0.25">
      <c r="A109" s="1" t="s">
        <v>210</v>
      </c>
      <c r="B109" s="4">
        <v>6017204115</v>
      </c>
      <c r="C109" s="4">
        <v>7626771955</v>
      </c>
      <c r="D109" s="4">
        <v>9589773924</v>
      </c>
      <c r="E109" s="4">
        <v>10678529407</v>
      </c>
      <c r="F109" s="4">
        <v>16476871286</v>
      </c>
      <c r="G109" s="4">
        <v>16840448318</v>
      </c>
      <c r="H109" s="4">
        <v>17238110359</v>
      </c>
      <c r="I109" s="4">
        <v>17204893747</v>
      </c>
      <c r="J109" s="4">
        <v>18544452230</v>
      </c>
      <c r="K109" s="4">
        <v>20819044813</v>
      </c>
      <c r="L109" s="4">
        <v>22052890381</v>
      </c>
      <c r="M109" s="6">
        <f>Table2[[#This Row],[2025]]/SUM(Table2[2025])</f>
        <v>1.3884488357288997E-3</v>
      </c>
      <c r="N109" s="4"/>
      <c r="O109" s="1" t="s">
        <v>101</v>
      </c>
      <c r="P109" s="4">
        <v>41948463</v>
      </c>
      <c r="Q109" s="4">
        <v>-46686828</v>
      </c>
      <c r="R109" s="4">
        <v>30958478</v>
      </c>
      <c r="S109" s="4">
        <v>-22663599</v>
      </c>
      <c r="T109" s="4">
        <v>-24519566</v>
      </c>
      <c r="U109" s="4">
        <v>52465846</v>
      </c>
      <c r="V109" s="4">
        <v>-25349771</v>
      </c>
      <c r="W109" s="4">
        <v>-99052018</v>
      </c>
      <c r="X109" s="4">
        <v>-172275492</v>
      </c>
      <c r="Y109" s="4">
        <v>-139373448</v>
      </c>
      <c r="Z109" s="4">
        <v>-103140703</v>
      </c>
    </row>
    <row r="110" spans="1:26" s="1" customFormat="1" ht="12.5" x14ac:dyDescent="0.25">
      <c r="A110" s="1" t="s">
        <v>155</v>
      </c>
      <c r="B110" s="4">
        <v>1750991500</v>
      </c>
      <c r="C110" s="4">
        <v>2502525000</v>
      </c>
      <c r="D110" s="4">
        <v>4184440000</v>
      </c>
      <c r="E110" s="4">
        <v>5696460000</v>
      </c>
      <c r="F110" s="4">
        <v>6026888500</v>
      </c>
      <c r="G110" s="4">
        <v>7775562962</v>
      </c>
      <c r="H110" s="4">
        <v>9484262733</v>
      </c>
      <c r="I110" s="4">
        <v>10566748916</v>
      </c>
      <c r="J110" s="4">
        <v>13192344079</v>
      </c>
      <c r="K110" s="4">
        <v>16162642468</v>
      </c>
      <c r="L110" s="4">
        <v>20995834886</v>
      </c>
      <c r="M110" s="6">
        <f>Table2[[#This Row],[2025]]/SUM(Table2[2025])</f>
        <v>1.3218966765344716E-3</v>
      </c>
      <c r="N110" s="4"/>
      <c r="O110" s="1" t="s">
        <v>102</v>
      </c>
      <c r="P110" s="4">
        <v>309982085</v>
      </c>
      <c r="Q110" s="4">
        <v>851123693</v>
      </c>
      <c r="R110" s="4">
        <v>-14966757</v>
      </c>
      <c r="S110" s="4">
        <v>-217417345</v>
      </c>
      <c r="T110" s="4">
        <v>283156260</v>
      </c>
      <c r="U110" s="4">
        <v>46884905</v>
      </c>
      <c r="V110" s="4">
        <v>94132635</v>
      </c>
      <c r="W110" s="4">
        <v>362259022</v>
      </c>
      <c r="X110" s="4">
        <v>-384207020</v>
      </c>
      <c r="Y110" s="4">
        <v>232592156</v>
      </c>
      <c r="Z110" s="4">
        <v>63625978</v>
      </c>
    </row>
    <row r="111" spans="1:26" s="1" customFormat="1" ht="12.5" x14ac:dyDescent="0.25">
      <c r="A111" s="1" t="s">
        <v>192</v>
      </c>
      <c r="B111" s="4">
        <v>4158064142</v>
      </c>
      <c r="C111" s="4">
        <v>4169907930</v>
      </c>
      <c r="D111" s="4">
        <v>4148446855</v>
      </c>
      <c r="E111" s="4">
        <v>4038393730</v>
      </c>
      <c r="F111" s="4">
        <v>4769046426</v>
      </c>
      <c r="G111" s="4">
        <v>6166199203</v>
      </c>
      <c r="H111" s="4">
        <v>8188076311</v>
      </c>
      <c r="I111" s="4">
        <v>7838868858</v>
      </c>
      <c r="J111" s="4">
        <v>12602609343</v>
      </c>
      <c r="K111" s="4">
        <v>17064006923</v>
      </c>
      <c r="L111" s="4">
        <v>19250170336</v>
      </c>
      <c r="M111" s="6">
        <f>Table2[[#This Row],[2025]]/SUM(Table2[2025])</f>
        <v>1.2119897269171577E-3</v>
      </c>
      <c r="N111" s="4"/>
      <c r="O111" s="1" t="s">
        <v>103</v>
      </c>
      <c r="P111" s="4">
        <v>-17908630</v>
      </c>
      <c r="Q111" s="4">
        <v>300726253</v>
      </c>
      <c r="R111" s="4">
        <v>-96484859</v>
      </c>
      <c r="S111" s="4">
        <v>-95041894</v>
      </c>
      <c r="T111" s="4">
        <v>290803902</v>
      </c>
      <c r="U111" s="4">
        <v>1783564223</v>
      </c>
      <c r="V111" s="4">
        <v>1497711123</v>
      </c>
      <c r="W111" s="4">
        <v>836318407</v>
      </c>
      <c r="X111" s="4">
        <v>-221646168</v>
      </c>
      <c r="Y111" s="4">
        <v>-732816172</v>
      </c>
      <c r="Z111" s="4">
        <v>-2814292722</v>
      </c>
    </row>
    <row r="112" spans="1:26" s="1" customFormat="1" ht="12.5" x14ac:dyDescent="0.25">
      <c r="A112" s="1" t="s">
        <v>299</v>
      </c>
      <c r="B112" s="1" t="s">
        <v>21</v>
      </c>
      <c r="C112" s="4">
        <v>75052321</v>
      </c>
      <c r="D112" s="4">
        <v>283353704</v>
      </c>
      <c r="E112" s="4">
        <v>323789978</v>
      </c>
      <c r="F112" s="4">
        <v>486714799</v>
      </c>
      <c r="G112" s="4">
        <v>1223576036</v>
      </c>
      <c r="H112" s="4">
        <v>2913947080</v>
      </c>
      <c r="I112" s="4">
        <v>5265384278</v>
      </c>
      <c r="J112" s="4">
        <v>9376235753</v>
      </c>
      <c r="K112" s="4">
        <v>13856439376</v>
      </c>
      <c r="L112" s="4">
        <v>19089633471</v>
      </c>
      <c r="M112" s="6">
        <f>Table2[[#This Row],[2025]]/SUM(Table2[2025])</f>
        <v>1.2018823342148906E-3</v>
      </c>
      <c r="N112" s="4"/>
      <c r="O112" s="1" t="s">
        <v>104</v>
      </c>
      <c r="P112" s="4">
        <v>346323408</v>
      </c>
      <c r="Q112" s="4">
        <v>43267600</v>
      </c>
      <c r="R112" s="4">
        <v>78214623</v>
      </c>
      <c r="S112" s="4">
        <v>-285337147</v>
      </c>
      <c r="T112" s="4">
        <v>-322117803</v>
      </c>
      <c r="U112" s="4">
        <v>132404734</v>
      </c>
      <c r="V112" s="4">
        <v>160529563</v>
      </c>
      <c r="W112" s="4">
        <v>336033584</v>
      </c>
      <c r="X112" s="4">
        <v>735279645</v>
      </c>
      <c r="Y112" s="4">
        <v>561515374</v>
      </c>
      <c r="Z112" s="4">
        <v>379028305</v>
      </c>
    </row>
    <row r="113" spans="1:26" s="1" customFormat="1" ht="12.5" x14ac:dyDescent="0.25">
      <c r="A113" s="1" t="s">
        <v>385</v>
      </c>
      <c r="B113" s="1" t="s">
        <v>21</v>
      </c>
      <c r="C113" s="1" t="s">
        <v>21</v>
      </c>
      <c r="D113" s="1" t="s">
        <v>21</v>
      </c>
      <c r="E113" s="1" t="s">
        <v>21</v>
      </c>
      <c r="F113" s="1" t="s">
        <v>21</v>
      </c>
      <c r="G113" s="4">
        <v>716058463</v>
      </c>
      <c r="H113" s="4">
        <v>1720522200</v>
      </c>
      <c r="I113" s="4">
        <v>6390603802</v>
      </c>
      <c r="J113" s="4">
        <v>12789505764</v>
      </c>
      <c r="K113" s="4">
        <v>16868193235</v>
      </c>
      <c r="L113" s="4">
        <v>16846220687</v>
      </c>
      <c r="M113" s="6">
        <f>Table2[[#This Row],[2025]]/SUM(Table2[2025])</f>
        <v>1.0606371815754983E-3</v>
      </c>
      <c r="N113" s="4"/>
      <c r="O113" s="1" t="s">
        <v>105</v>
      </c>
      <c r="P113" s="4">
        <v>112166244</v>
      </c>
      <c r="Q113" s="4">
        <v>15070881</v>
      </c>
      <c r="R113" s="4">
        <v>-97263638</v>
      </c>
      <c r="S113" s="4">
        <v>-36904074</v>
      </c>
      <c r="T113" s="4">
        <v>-45551619</v>
      </c>
      <c r="U113" s="4">
        <v>1485346</v>
      </c>
      <c r="V113" s="4">
        <v>26011429</v>
      </c>
      <c r="W113" s="4">
        <v>11916451</v>
      </c>
      <c r="X113" s="4">
        <v>108261124</v>
      </c>
      <c r="Y113" s="4">
        <v>-44072930</v>
      </c>
      <c r="Z113" s="4">
        <v>-14083558</v>
      </c>
    </row>
    <row r="114" spans="1:26" s="1" customFormat="1" ht="12.5" x14ac:dyDescent="0.25">
      <c r="A114" s="1" t="s">
        <v>218</v>
      </c>
      <c r="B114" s="4">
        <v>8598128905</v>
      </c>
      <c r="C114" s="4">
        <v>4108336516</v>
      </c>
      <c r="D114" s="4">
        <v>4022570618</v>
      </c>
      <c r="E114" s="4">
        <v>2857576679</v>
      </c>
      <c r="F114" s="4">
        <v>2729780490</v>
      </c>
      <c r="G114" s="4">
        <v>2246614375</v>
      </c>
      <c r="H114" s="4">
        <v>2824507575</v>
      </c>
      <c r="I114" s="4">
        <v>3486514825</v>
      </c>
      <c r="J114" s="4">
        <v>10919008362</v>
      </c>
      <c r="K114" s="4">
        <v>15771866013</v>
      </c>
      <c r="L114" s="4">
        <v>16205459482</v>
      </c>
      <c r="M114" s="6">
        <f>Table2[[#This Row],[2025]]/SUM(Table2[2025])</f>
        <v>1.0202948893094014E-3</v>
      </c>
      <c r="N114" s="4"/>
      <c r="O114" s="1" t="s">
        <v>106</v>
      </c>
      <c r="P114" s="4">
        <v>65818700</v>
      </c>
      <c r="Q114" s="4">
        <v>100121462</v>
      </c>
      <c r="R114" s="4">
        <v>19924596</v>
      </c>
      <c r="S114" s="4">
        <v>658586632</v>
      </c>
      <c r="T114" s="4">
        <v>193672578</v>
      </c>
      <c r="U114" s="4">
        <v>-98391198</v>
      </c>
      <c r="V114" s="4">
        <v>83339107</v>
      </c>
      <c r="W114" s="4">
        <v>441537608</v>
      </c>
      <c r="X114" s="4">
        <v>256865225</v>
      </c>
      <c r="Y114" s="4">
        <v>-64503151</v>
      </c>
      <c r="Z114" s="4">
        <v>270029558</v>
      </c>
    </row>
    <row r="115" spans="1:26" s="1" customFormat="1" ht="12.5" x14ac:dyDescent="0.25">
      <c r="A115" s="1" t="s">
        <v>240</v>
      </c>
      <c r="B115" s="4">
        <v>16911067547</v>
      </c>
      <c r="C115" s="4">
        <v>16795598958</v>
      </c>
      <c r="D115" s="4">
        <v>14945455623</v>
      </c>
      <c r="E115" s="4">
        <v>14692138527</v>
      </c>
      <c r="F115" s="4">
        <v>14409081783</v>
      </c>
      <c r="G115" s="4">
        <v>14440177019</v>
      </c>
      <c r="H115" s="4">
        <v>16255817708</v>
      </c>
      <c r="I115" s="4">
        <v>14438358318</v>
      </c>
      <c r="J115" s="4">
        <v>14349197623</v>
      </c>
      <c r="K115" s="4">
        <v>14326806826</v>
      </c>
      <c r="L115" s="4">
        <v>16158301735</v>
      </c>
      <c r="M115" s="6">
        <f>Table2[[#This Row],[2025]]/SUM(Table2[2025])</f>
        <v>1.0173258400017352E-3</v>
      </c>
      <c r="N115" s="4"/>
      <c r="O115" s="1" t="s">
        <v>107</v>
      </c>
      <c r="P115" s="1" t="s">
        <v>21</v>
      </c>
      <c r="Q115" s="1" t="s">
        <v>21</v>
      </c>
      <c r="R115" s="4">
        <v>411833424</v>
      </c>
      <c r="S115" s="4">
        <v>210740579</v>
      </c>
      <c r="T115" s="4">
        <v>-35775539</v>
      </c>
      <c r="U115" s="4">
        <v>210245204</v>
      </c>
      <c r="V115" s="4">
        <v>121038202</v>
      </c>
      <c r="W115" s="4">
        <v>763032924</v>
      </c>
      <c r="X115" s="4">
        <v>790910725</v>
      </c>
      <c r="Y115" s="4">
        <v>1204442376</v>
      </c>
      <c r="Z115" s="4">
        <v>672248553</v>
      </c>
    </row>
    <row r="116" spans="1:26" s="1" customFormat="1" ht="12.5" x14ac:dyDescent="0.25">
      <c r="A116" s="1" t="s">
        <v>232</v>
      </c>
      <c r="B116" s="4">
        <v>12979069242</v>
      </c>
      <c r="C116" s="4">
        <v>12178094718</v>
      </c>
      <c r="D116" s="4">
        <v>13509317179</v>
      </c>
      <c r="E116" s="4">
        <v>18674008826</v>
      </c>
      <c r="F116" s="4">
        <v>20511439075</v>
      </c>
      <c r="G116" s="4">
        <v>20414532006</v>
      </c>
      <c r="H116" s="4">
        <v>25462583280</v>
      </c>
      <c r="I116" s="4">
        <v>20886857494</v>
      </c>
      <c r="J116" s="4">
        <v>22817578808</v>
      </c>
      <c r="K116" s="4">
        <v>16207625074</v>
      </c>
      <c r="L116" s="4">
        <v>15707209775</v>
      </c>
      <c r="M116" s="6">
        <f>Table2[[#This Row],[2025]]/SUM(Table2[2025])</f>
        <v>9.8892511357322665E-4</v>
      </c>
      <c r="N116" s="4"/>
      <c r="O116" s="1" t="s">
        <v>108</v>
      </c>
      <c r="P116" s="4">
        <v>-7431328</v>
      </c>
      <c r="Q116" s="4">
        <v>-90135245</v>
      </c>
      <c r="R116" s="4">
        <v>-357102589</v>
      </c>
      <c r="S116" s="4">
        <v>-81702198</v>
      </c>
      <c r="T116" s="4">
        <v>2138864041</v>
      </c>
      <c r="U116" s="4">
        <v>-11793616</v>
      </c>
      <c r="V116" s="4">
        <v>-361735460</v>
      </c>
      <c r="W116" s="4">
        <v>-201556726</v>
      </c>
      <c r="X116" s="4">
        <v>-55760036</v>
      </c>
      <c r="Y116" s="4">
        <v>-36263748</v>
      </c>
      <c r="Z116" s="4">
        <v>-319830996</v>
      </c>
    </row>
    <row r="117" spans="1:26" s="1" customFormat="1" ht="12.5" x14ac:dyDescent="0.25">
      <c r="A117" s="1" t="s">
        <v>189</v>
      </c>
      <c r="B117" s="4">
        <v>3799419336</v>
      </c>
      <c r="C117" s="4">
        <v>3978920499</v>
      </c>
      <c r="D117" s="4">
        <v>4878627473</v>
      </c>
      <c r="E117" s="4">
        <v>8594797190</v>
      </c>
      <c r="F117" s="4">
        <v>9836289771</v>
      </c>
      <c r="G117" s="4">
        <v>11514104091</v>
      </c>
      <c r="H117" s="4">
        <v>13969989948</v>
      </c>
      <c r="I117" s="4">
        <v>12440522903</v>
      </c>
      <c r="J117" s="4">
        <v>14470303881</v>
      </c>
      <c r="K117" s="4">
        <v>15914158239</v>
      </c>
      <c r="L117" s="4">
        <v>15198502147</v>
      </c>
      <c r="M117" s="6">
        <f>Table2[[#This Row],[2025]]/SUM(Table2[2025])</f>
        <v>9.568969076727636E-4</v>
      </c>
      <c r="N117" s="4"/>
      <c r="O117" s="1" t="s">
        <v>21</v>
      </c>
      <c r="P117" s="4">
        <v>104837334</v>
      </c>
      <c r="Q117" s="4">
        <v>226262224</v>
      </c>
      <c r="R117" s="4">
        <v>79405098</v>
      </c>
      <c r="S117" s="4">
        <v>24111892</v>
      </c>
      <c r="T117" s="4">
        <v>787649469</v>
      </c>
      <c r="U117" s="4">
        <v>16384325</v>
      </c>
      <c r="V117" s="4">
        <v>31340949</v>
      </c>
      <c r="W117" s="4">
        <v>-80019142</v>
      </c>
      <c r="X117" s="4">
        <v>-12209858</v>
      </c>
      <c r="Y117" s="4">
        <v>86285409</v>
      </c>
      <c r="Z117" s="4">
        <v>342036700</v>
      </c>
    </row>
    <row r="118" spans="1:26" s="1" customFormat="1" ht="12.5" x14ac:dyDescent="0.25">
      <c r="A118" s="1" t="s">
        <v>170</v>
      </c>
      <c r="B118" s="4">
        <v>2376452871</v>
      </c>
      <c r="C118" s="4">
        <v>2837121991</v>
      </c>
      <c r="D118" s="4">
        <v>9856244447</v>
      </c>
      <c r="E118" s="4">
        <v>9397058663</v>
      </c>
      <c r="F118" s="4">
        <v>9489073739</v>
      </c>
      <c r="G118" s="4">
        <v>8785556997</v>
      </c>
      <c r="H118" s="4">
        <v>9301473879</v>
      </c>
      <c r="I118" s="4">
        <v>11338807117</v>
      </c>
      <c r="J118" s="4">
        <v>11874452549</v>
      </c>
      <c r="K118" s="4">
        <v>12777536898</v>
      </c>
      <c r="L118" s="4">
        <v>15159190902</v>
      </c>
      <c r="M118" s="6">
        <f>Table2[[#This Row],[2025]]/SUM(Table2[2025])</f>
        <v>9.5442187372445498E-4</v>
      </c>
      <c r="N118" s="4"/>
      <c r="O118" s="1" t="s">
        <v>109</v>
      </c>
      <c r="P118" s="4">
        <v>197892913</v>
      </c>
      <c r="Q118" s="4">
        <v>349170407</v>
      </c>
      <c r="R118" s="4">
        <v>-74836764</v>
      </c>
      <c r="S118" s="4">
        <v>8654529</v>
      </c>
      <c r="T118" s="4">
        <v>-92688305</v>
      </c>
      <c r="U118" s="4">
        <v>79308081</v>
      </c>
      <c r="V118" s="4">
        <v>73483629</v>
      </c>
      <c r="W118" s="4">
        <v>-31152901</v>
      </c>
      <c r="X118" s="4">
        <v>-108670359</v>
      </c>
      <c r="Y118" s="4">
        <v>-19960913</v>
      </c>
      <c r="Z118" s="4">
        <v>-46228970</v>
      </c>
    </row>
    <row r="119" spans="1:26" s="1" customFormat="1" ht="12.5" x14ac:dyDescent="0.25">
      <c r="A119" s="1" t="s">
        <v>111</v>
      </c>
      <c r="B119" s="4">
        <v>777317414</v>
      </c>
      <c r="C119" s="4">
        <v>1176218139</v>
      </c>
      <c r="D119" s="4">
        <v>1558905762</v>
      </c>
      <c r="E119" s="4">
        <v>1515751573</v>
      </c>
      <c r="F119" s="4">
        <v>1798466818</v>
      </c>
      <c r="G119" s="4">
        <v>2342909582</v>
      </c>
      <c r="H119" s="4">
        <v>3921018679</v>
      </c>
      <c r="I119" s="4">
        <v>5866461244</v>
      </c>
      <c r="J119" s="4">
        <v>9143026911</v>
      </c>
      <c r="K119" s="4">
        <v>11544341520</v>
      </c>
      <c r="L119" s="4">
        <v>14852942227</v>
      </c>
      <c r="M119" s="6">
        <f>Table2[[#This Row],[2025]]/SUM(Table2[2025])</f>
        <v>9.3514047301456826E-4</v>
      </c>
      <c r="N119" s="4"/>
      <c r="O119" s="1" t="s">
        <v>110</v>
      </c>
      <c r="P119" s="4">
        <v>-88895348</v>
      </c>
      <c r="Q119" s="4">
        <v>-37168962</v>
      </c>
      <c r="R119" s="4">
        <v>128154412</v>
      </c>
      <c r="S119" s="4">
        <v>763082314</v>
      </c>
      <c r="T119" s="4">
        <v>929027400</v>
      </c>
      <c r="U119" s="4">
        <v>344830433</v>
      </c>
      <c r="V119" s="4">
        <v>1616388725</v>
      </c>
      <c r="W119" s="4">
        <v>1628893560</v>
      </c>
      <c r="X119" s="4">
        <v>771776379</v>
      </c>
      <c r="Y119" s="4">
        <v>784482523</v>
      </c>
      <c r="Z119" s="4">
        <v>109463467</v>
      </c>
    </row>
    <row r="120" spans="1:26" s="1" customFormat="1" ht="12.5" x14ac:dyDescent="0.25">
      <c r="A120" s="1" t="s">
        <v>442</v>
      </c>
      <c r="B120" s="1" t="s">
        <v>21</v>
      </c>
      <c r="C120" s="1" t="s">
        <v>21</v>
      </c>
      <c r="D120" s="1" t="s">
        <v>21</v>
      </c>
      <c r="E120" s="1" t="s">
        <v>21</v>
      </c>
      <c r="F120" s="1" t="s">
        <v>21</v>
      </c>
      <c r="G120" s="1" t="s">
        <v>21</v>
      </c>
      <c r="H120" s="1" t="s">
        <v>21</v>
      </c>
      <c r="I120" s="4">
        <v>1743043895</v>
      </c>
      <c r="J120" s="4">
        <v>2548955032</v>
      </c>
      <c r="K120" s="4">
        <v>8036265668</v>
      </c>
      <c r="L120" s="4">
        <v>14665461869</v>
      </c>
      <c r="M120" s="6">
        <f>Table2[[#This Row],[2025]]/SUM(Table2[2025])</f>
        <v>9.2333671938908397E-4</v>
      </c>
      <c r="N120" s="4"/>
      <c r="O120" s="1" t="s">
        <v>111</v>
      </c>
      <c r="P120" s="4">
        <v>283805247</v>
      </c>
      <c r="Q120" s="4">
        <v>432195973</v>
      </c>
      <c r="R120" s="4">
        <v>248150277</v>
      </c>
      <c r="S120" s="4">
        <v>14409689</v>
      </c>
      <c r="T120" s="4">
        <v>184488010</v>
      </c>
      <c r="U120" s="4">
        <v>190435398</v>
      </c>
      <c r="V120" s="4">
        <v>889240175</v>
      </c>
      <c r="W120" s="4">
        <v>1819678507</v>
      </c>
      <c r="X120" s="4">
        <v>1903289624</v>
      </c>
      <c r="Y120" s="4">
        <v>1546891074</v>
      </c>
      <c r="Z120" s="4">
        <v>1769953018</v>
      </c>
    </row>
    <row r="121" spans="1:26" s="1" customFormat="1" ht="12.5" x14ac:dyDescent="0.25">
      <c r="A121" s="1" t="s">
        <v>171</v>
      </c>
      <c r="B121" s="4">
        <v>2400907641</v>
      </c>
      <c r="C121" s="4">
        <v>2715673718</v>
      </c>
      <c r="D121" s="4">
        <v>5150003289</v>
      </c>
      <c r="E121" s="4">
        <v>4697310941</v>
      </c>
      <c r="F121" s="4">
        <v>4470842643</v>
      </c>
      <c r="G121" s="4">
        <v>4606745636</v>
      </c>
      <c r="H121" s="4">
        <v>7370971583</v>
      </c>
      <c r="I121" s="4">
        <v>8729853754</v>
      </c>
      <c r="J121" s="4">
        <v>9525445745</v>
      </c>
      <c r="K121" s="4">
        <v>10706184351</v>
      </c>
      <c r="L121" s="4">
        <v>14313243213</v>
      </c>
      <c r="M121" s="6">
        <f>Table2[[#This Row],[2025]]/SUM(Table2[2025])</f>
        <v>9.0116105105734741E-4</v>
      </c>
      <c r="N121" s="4"/>
      <c r="O121" s="1" t="s">
        <v>112</v>
      </c>
      <c r="P121" s="4">
        <v>732843989</v>
      </c>
      <c r="Q121" s="4">
        <v>3619636</v>
      </c>
      <c r="R121" s="4">
        <v>-146408228</v>
      </c>
      <c r="S121" s="4">
        <v>-74388294</v>
      </c>
      <c r="T121" s="4">
        <v>7319911</v>
      </c>
      <c r="U121" s="4">
        <v>40853216</v>
      </c>
      <c r="V121" s="4">
        <v>10029179</v>
      </c>
      <c r="W121" s="4">
        <v>-27397080</v>
      </c>
      <c r="X121" s="4">
        <v>8157973</v>
      </c>
      <c r="Y121" s="4">
        <v>-12850277</v>
      </c>
      <c r="Z121" s="4">
        <v>-30789241</v>
      </c>
    </row>
    <row r="122" spans="1:26" s="1" customFormat="1" ht="12.5" x14ac:dyDescent="0.25">
      <c r="A122" s="1" t="s">
        <v>127</v>
      </c>
      <c r="B122" s="4">
        <v>1181109318</v>
      </c>
      <c r="C122" s="4">
        <v>2017232263</v>
      </c>
      <c r="D122" s="4">
        <v>2474944663</v>
      </c>
      <c r="E122" s="4">
        <v>3541930803</v>
      </c>
      <c r="F122" s="4">
        <v>4260407604</v>
      </c>
      <c r="G122" s="4">
        <v>4378097507</v>
      </c>
      <c r="H122" s="4">
        <v>6153256996</v>
      </c>
      <c r="I122" s="4">
        <v>6406107797</v>
      </c>
      <c r="J122" s="4">
        <v>6421367707</v>
      </c>
      <c r="K122" s="4">
        <v>11141279529</v>
      </c>
      <c r="L122" s="4">
        <v>13925334562</v>
      </c>
      <c r="M122" s="6">
        <f>Table2[[#This Row],[2025]]/SUM(Table2[2025])</f>
        <v>8.7673834248966917E-4</v>
      </c>
      <c r="N122" s="4"/>
      <c r="O122" s="1" t="s">
        <v>113</v>
      </c>
      <c r="P122" s="4">
        <v>54959075</v>
      </c>
      <c r="Q122" s="4">
        <v>29831987</v>
      </c>
      <c r="R122" s="4">
        <v>-87975601</v>
      </c>
      <c r="S122" s="4">
        <v>-93430455</v>
      </c>
      <c r="T122" s="4">
        <v>-44384393</v>
      </c>
      <c r="U122" s="4">
        <v>-11423026</v>
      </c>
      <c r="V122" s="4">
        <v>-27945968</v>
      </c>
      <c r="W122" s="4">
        <v>671184140</v>
      </c>
      <c r="X122" s="4">
        <v>-275256464</v>
      </c>
      <c r="Y122" s="4">
        <v>-225820357</v>
      </c>
      <c r="Z122" s="4">
        <v>-203333930</v>
      </c>
    </row>
    <row r="123" spans="1:26" s="1" customFormat="1" ht="12.5" x14ac:dyDescent="0.25">
      <c r="A123" s="1" t="s">
        <v>212</v>
      </c>
      <c r="B123" s="4">
        <v>6109550225</v>
      </c>
      <c r="C123" s="4">
        <v>6206840068</v>
      </c>
      <c r="D123" s="4">
        <v>6898619693</v>
      </c>
      <c r="E123" s="4">
        <v>6650153441</v>
      </c>
      <c r="F123" s="4">
        <v>6923457298</v>
      </c>
      <c r="G123" s="4">
        <v>7213977900</v>
      </c>
      <c r="H123" s="4">
        <v>8860699939</v>
      </c>
      <c r="I123" s="4">
        <v>9136771122</v>
      </c>
      <c r="J123" s="4">
        <v>10150679387</v>
      </c>
      <c r="K123" s="4">
        <v>11168270503</v>
      </c>
      <c r="L123" s="4">
        <v>13354083196</v>
      </c>
      <c r="M123" s="6">
        <f>Table2[[#This Row],[2025]]/SUM(Table2[2025])</f>
        <v>8.4077238608539677E-4</v>
      </c>
      <c r="N123" s="4"/>
      <c r="O123" s="1" t="s">
        <v>114</v>
      </c>
      <c r="P123" s="4">
        <v>801172962</v>
      </c>
      <c r="Q123" s="4">
        <v>-67652338</v>
      </c>
      <c r="R123" s="4">
        <v>-11207297</v>
      </c>
      <c r="S123" s="4">
        <v>766962618</v>
      </c>
      <c r="T123" s="4">
        <v>95471834</v>
      </c>
      <c r="U123" s="4">
        <v>1051173991</v>
      </c>
      <c r="V123" s="4">
        <v>-66797572</v>
      </c>
      <c r="W123" s="4">
        <v>-321461548</v>
      </c>
      <c r="X123" s="4">
        <v>222349265</v>
      </c>
      <c r="Y123" s="4">
        <v>-50344041</v>
      </c>
      <c r="Z123" s="4">
        <v>475550867</v>
      </c>
    </row>
    <row r="124" spans="1:26" s="1" customFormat="1" ht="12.5" x14ac:dyDescent="0.25">
      <c r="A124" s="1" t="s">
        <v>135</v>
      </c>
      <c r="B124" s="4">
        <v>1325050117</v>
      </c>
      <c r="C124" s="4">
        <v>1410698044</v>
      </c>
      <c r="D124" s="4">
        <v>2012266284</v>
      </c>
      <c r="E124" s="4">
        <v>2359961632</v>
      </c>
      <c r="F124" s="4">
        <v>2758507289</v>
      </c>
      <c r="G124" s="4">
        <v>4956369224</v>
      </c>
      <c r="H124" s="4">
        <v>7036169336</v>
      </c>
      <c r="I124" s="4">
        <v>8195649508</v>
      </c>
      <c r="J124" s="4">
        <v>12506294059</v>
      </c>
      <c r="K124" s="4">
        <v>9531512257</v>
      </c>
      <c r="L124" s="4">
        <v>13254260880</v>
      </c>
      <c r="M124" s="6">
        <f>Table2[[#This Row],[2025]]/SUM(Table2[2025])</f>
        <v>8.3448757824227738E-4</v>
      </c>
      <c r="N124" s="4"/>
      <c r="O124" s="1" t="s">
        <v>115</v>
      </c>
      <c r="P124" s="4">
        <v>-100084398</v>
      </c>
      <c r="Q124" s="4">
        <v>-73302378</v>
      </c>
      <c r="R124" s="4">
        <v>-17059901</v>
      </c>
      <c r="S124" s="4">
        <v>-134008384</v>
      </c>
      <c r="T124" s="4">
        <v>517460028</v>
      </c>
      <c r="U124" s="4">
        <v>548397677</v>
      </c>
      <c r="V124" s="4">
        <v>-338501040</v>
      </c>
      <c r="W124" s="4">
        <v>382885622</v>
      </c>
      <c r="X124" s="4">
        <v>1357559498</v>
      </c>
      <c r="Y124" s="4">
        <v>-1166305951</v>
      </c>
      <c r="Z124" s="4">
        <v>-155722724</v>
      </c>
    </row>
    <row r="125" spans="1:26" s="1" customFormat="1" ht="12.5" x14ac:dyDescent="0.25">
      <c r="A125" s="1" t="s">
        <v>376</v>
      </c>
      <c r="B125" s="1" t="s">
        <v>21</v>
      </c>
      <c r="C125" s="1" t="s">
        <v>21</v>
      </c>
      <c r="D125" s="1" t="s">
        <v>21</v>
      </c>
      <c r="E125" s="1" t="s">
        <v>21</v>
      </c>
      <c r="F125" s="4">
        <v>1481298779</v>
      </c>
      <c r="G125" s="4">
        <v>3711734359</v>
      </c>
      <c r="H125" s="4">
        <v>5055421258</v>
      </c>
      <c r="I125" s="4">
        <v>6387735040</v>
      </c>
      <c r="J125" s="4">
        <v>10725653203</v>
      </c>
      <c r="K125" s="4">
        <v>11764078056</v>
      </c>
      <c r="L125" s="4">
        <v>13002369536</v>
      </c>
      <c r="M125" s="6">
        <f>Table2[[#This Row],[2025]]/SUM(Table2[2025])</f>
        <v>8.1862851227565425E-4</v>
      </c>
      <c r="N125" s="4"/>
      <c r="O125" s="1" t="s">
        <v>116</v>
      </c>
      <c r="P125" s="4">
        <v>316801343</v>
      </c>
      <c r="Q125" s="4">
        <v>-49628601</v>
      </c>
      <c r="R125" s="4">
        <v>-123220965</v>
      </c>
      <c r="S125" s="4">
        <v>-18399231</v>
      </c>
      <c r="T125" s="4">
        <v>-18888423</v>
      </c>
      <c r="U125" s="4">
        <v>271064901</v>
      </c>
      <c r="V125" s="4">
        <v>-136538365</v>
      </c>
      <c r="W125" s="4">
        <v>-70460725</v>
      </c>
      <c r="X125" s="4">
        <v>-106114245</v>
      </c>
      <c r="Y125" s="4">
        <v>-135614996</v>
      </c>
      <c r="Z125" s="4">
        <v>-162030532</v>
      </c>
    </row>
    <row r="126" spans="1:26" s="1" customFormat="1" ht="12.5" x14ac:dyDescent="0.25">
      <c r="A126" s="1" t="s">
        <v>110</v>
      </c>
      <c r="B126" s="4">
        <v>775134993</v>
      </c>
      <c r="C126" s="4">
        <v>836779526</v>
      </c>
      <c r="D126" s="4">
        <v>1050588729</v>
      </c>
      <c r="E126" s="4">
        <v>1789127615</v>
      </c>
      <c r="F126" s="4">
        <v>2819709895</v>
      </c>
      <c r="G126" s="4">
        <v>3153986293</v>
      </c>
      <c r="H126" s="4">
        <v>6295479080</v>
      </c>
      <c r="I126" s="4">
        <v>8218391463</v>
      </c>
      <c r="J126" s="4">
        <v>9567585582</v>
      </c>
      <c r="K126" s="4">
        <v>11304976784</v>
      </c>
      <c r="L126" s="4">
        <v>12889681156</v>
      </c>
      <c r="M126" s="6">
        <f>Table2[[#This Row],[2025]]/SUM(Table2[2025])</f>
        <v>8.1153365770974303E-4</v>
      </c>
      <c r="N126" s="4"/>
      <c r="O126" s="1" t="s">
        <v>117</v>
      </c>
      <c r="P126" s="4">
        <v>28431257</v>
      </c>
      <c r="Q126" s="4">
        <v>-122027864</v>
      </c>
      <c r="R126" s="4">
        <v>52992938</v>
      </c>
      <c r="S126" s="4">
        <v>-127425909</v>
      </c>
      <c r="T126" s="4">
        <v>-102104886</v>
      </c>
      <c r="U126" s="4">
        <v>-25304632</v>
      </c>
      <c r="V126" s="4">
        <v>-29723982</v>
      </c>
      <c r="W126" s="4">
        <v>25172340</v>
      </c>
      <c r="X126" s="4">
        <v>-35863430</v>
      </c>
      <c r="Y126" s="4">
        <v>-141218534</v>
      </c>
      <c r="Z126" s="4">
        <v>-22685106</v>
      </c>
    </row>
    <row r="127" spans="1:26" s="1" customFormat="1" ht="12.5" x14ac:dyDescent="0.25">
      <c r="A127" s="1" t="s">
        <v>174</v>
      </c>
      <c r="B127" s="4">
        <v>2518386104</v>
      </c>
      <c r="C127" s="4">
        <v>2602894393</v>
      </c>
      <c r="D127" s="4">
        <v>3920680716</v>
      </c>
      <c r="E127" s="4">
        <v>4435756350</v>
      </c>
      <c r="F127" s="4">
        <v>4609799444</v>
      </c>
      <c r="G127" s="4">
        <v>4430020540</v>
      </c>
      <c r="H127" s="4">
        <v>6207764300</v>
      </c>
      <c r="I127" s="4">
        <v>6292014173</v>
      </c>
      <c r="J127" s="4">
        <v>7731793297</v>
      </c>
      <c r="K127" s="4">
        <v>10827852590</v>
      </c>
      <c r="L127" s="4">
        <v>12733511135</v>
      </c>
      <c r="M127" s="6">
        <f>Table2[[#This Row],[2025]]/SUM(Table2[2025])</f>
        <v>8.0170120127945018E-4</v>
      </c>
      <c r="N127" s="4"/>
      <c r="O127" s="1" t="s">
        <v>118</v>
      </c>
      <c r="P127" s="4">
        <v>534209135</v>
      </c>
      <c r="Q127" s="4">
        <v>297585458</v>
      </c>
      <c r="R127" s="4">
        <v>288370517</v>
      </c>
      <c r="S127" s="4">
        <v>607223913</v>
      </c>
      <c r="T127" s="4">
        <v>1065040262</v>
      </c>
      <c r="U127" s="4">
        <v>427550040</v>
      </c>
      <c r="V127" s="4">
        <v>332838987</v>
      </c>
      <c r="W127" s="4">
        <v>305651212</v>
      </c>
      <c r="X127" s="4">
        <v>-101982547</v>
      </c>
      <c r="Y127" s="4">
        <v>-175524054</v>
      </c>
      <c r="Z127" s="4">
        <v>179631290</v>
      </c>
    </row>
    <row r="128" spans="1:26" s="1" customFormat="1" ht="12.5" x14ac:dyDescent="0.25">
      <c r="A128" s="1" t="s">
        <v>202</v>
      </c>
      <c r="B128" s="4">
        <v>5336132719</v>
      </c>
      <c r="C128" s="4">
        <v>4782406177</v>
      </c>
      <c r="D128" s="4">
        <v>5187929115</v>
      </c>
      <c r="E128" s="4">
        <v>4714721833</v>
      </c>
      <c r="F128" s="4">
        <v>4849192533</v>
      </c>
      <c r="G128" s="4">
        <v>4802572570</v>
      </c>
      <c r="H128" s="4">
        <v>7275429819</v>
      </c>
      <c r="I128" s="4">
        <v>7620360627</v>
      </c>
      <c r="J128" s="4">
        <v>10970016081</v>
      </c>
      <c r="K128" s="4">
        <v>10205569263</v>
      </c>
      <c r="L128" s="4">
        <v>12549031195</v>
      </c>
      <c r="M128" s="6">
        <f>Table2[[#This Row],[2025]]/SUM(Table2[2025])</f>
        <v>7.9008635381578078E-4</v>
      </c>
      <c r="N128" s="4"/>
      <c r="O128" s="1" t="s">
        <v>119</v>
      </c>
      <c r="P128" s="4">
        <v>53072649</v>
      </c>
      <c r="Q128" s="4">
        <v>-121935291</v>
      </c>
      <c r="R128" s="4">
        <v>204889020</v>
      </c>
      <c r="S128" s="4">
        <v>65514082</v>
      </c>
      <c r="T128" s="4">
        <v>91017482</v>
      </c>
      <c r="U128" s="4">
        <v>-18849225</v>
      </c>
      <c r="V128" s="4">
        <v>-113536352</v>
      </c>
      <c r="W128" s="4">
        <v>199980110</v>
      </c>
      <c r="X128" s="4">
        <v>318160804</v>
      </c>
      <c r="Y128" s="4">
        <v>177367475</v>
      </c>
      <c r="Z128" s="4">
        <v>-75895630</v>
      </c>
    </row>
    <row r="129" spans="1:26" s="1" customFormat="1" ht="12.5" x14ac:dyDescent="0.25">
      <c r="A129" s="1" t="s">
        <v>190</v>
      </c>
      <c r="B129" s="4">
        <v>3901448957</v>
      </c>
      <c r="C129" s="4">
        <v>4456868529</v>
      </c>
      <c r="D129" s="4">
        <v>5116658805</v>
      </c>
      <c r="E129" s="4">
        <v>5874690570</v>
      </c>
      <c r="F129" s="4">
        <v>5969608966</v>
      </c>
      <c r="G129" s="4">
        <v>4980580117</v>
      </c>
      <c r="H129" s="4">
        <v>7794557961</v>
      </c>
      <c r="I129" s="4">
        <v>7158538098</v>
      </c>
      <c r="J129" s="4">
        <v>7844635604</v>
      </c>
      <c r="K129" s="4">
        <v>11024924117</v>
      </c>
      <c r="L129" s="4">
        <v>12327928000</v>
      </c>
      <c r="M129" s="6">
        <f>Table2[[#This Row],[2025]]/SUM(Table2[2025])</f>
        <v>7.7616570811492596E-4</v>
      </c>
      <c r="N129" s="4"/>
      <c r="O129" s="1" t="s">
        <v>120</v>
      </c>
      <c r="P129" s="4">
        <v>44599565</v>
      </c>
      <c r="Q129" s="4">
        <v>-139866076</v>
      </c>
      <c r="R129" s="4">
        <v>-153697882</v>
      </c>
      <c r="S129" s="4">
        <v>-54687825</v>
      </c>
      <c r="T129" s="4">
        <v>-72657863</v>
      </c>
      <c r="U129" s="4">
        <v>-72821236</v>
      </c>
      <c r="V129" s="4">
        <v>-44498871</v>
      </c>
      <c r="W129" s="4">
        <v>-33248412</v>
      </c>
      <c r="X129" s="4">
        <v>-43048505</v>
      </c>
      <c r="Y129" s="4">
        <v>-70786458</v>
      </c>
      <c r="Z129" s="4">
        <v>-104372651</v>
      </c>
    </row>
    <row r="130" spans="1:26" s="1" customFormat="1" ht="12.5" x14ac:dyDescent="0.25">
      <c r="A130" s="1" t="s">
        <v>173</v>
      </c>
      <c r="B130" s="4">
        <v>2510243953</v>
      </c>
      <c r="C130" s="4">
        <v>2337798475</v>
      </c>
      <c r="D130" s="4">
        <v>6868457939</v>
      </c>
      <c r="E130" s="4">
        <v>7069991522</v>
      </c>
      <c r="F130" s="4">
        <v>9337160401</v>
      </c>
      <c r="G130" s="4">
        <v>13337845263</v>
      </c>
      <c r="H130" s="4">
        <v>17271262677</v>
      </c>
      <c r="I130" s="4">
        <v>11407039705</v>
      </c>
      <c r="J130" s="4">
        <v>9762930125</v>
      </c>
      <c r="K130" s="4">
        <v>10167948552</v>
      </c>
      <c r="L130" s="4">
        <v>11222583746</v>
      </c>
      <c r="M130" s="6">
        <f>Table2[[#This Row],[2025]]/SUM(Table2[2025])</f>
        <v>7.0657329115591432E-4</v>
      </c>
      <c r="N130" s="4"/>
      <c r="O130" s="1" t="s">
        <v>121</v>
      </c>
      <c r="P130" s="4">
        <v>662197905</v>
      </c>
      <c r="Q130" s="4">
        <v>113950921</v>
      </c>
      <c r="R130" s="4">
        <v>172758511</v>
      </c>
      <c r="S130" s="4">
        <v>-197005201</v>
      </c>
      <c r="T130" s="4">
        <v>27406298</v>
      </c>
      <c r="U130" s="4">
        <v>162298027</v>
      </c>
      <c r="V130" s="4">
        <v>46328549</v>
      </c>
      <c r="W130" s="4">
        <v>305808598</v>
      </c>
      <c r="X130" s="4">
        <v>-113035428</v>
      </c>
      <c r="Y130" s="4">
        <v>325634954</v>
      </c>
      <c r="Z130" s="4">
        <v>465210081</v>
      </c>
    </row>
    <row r="131" spans="1:26" s="1" customFormat="1" ht="12.5" x14ac:dyDescent="0.25">
      <c r="A131" s="1" t="s">
        <v>308</v>
      </c>
      <c r="B131" s="1" t="s">
        <v>21</v>
      </c>
      <c r="C131" s="4">
        <v>79665817</v>
      </c>
      <c r="D131" s="4">
        <v>79829143</v>
      </c>
      <c r="E131" s="4">
        <v>96006997</v>
      </c>
      <c r="F131" s="4">
        <v>101187796</v>
      </c>
      <c r="G131" s="4">
        <v>96655277</v>
      </c>
      <c r="H131" s="4">
        <v>531799971</v>
      </c>
      <c r="I131" s="4">
        <v>2307346900</v>
      </c>
      <c r="J131" s="4">
        <v>3743119006</v>
      </c>
      <c r="K131" s="4">
        <v>6975657204</v>
      </c>
      <c r="L131" s="4">
        <v>10752223707</v>
      </c>
      <c r="M131" s="6">
        <f>Table2[[#This Row],[2025]]/SUM(Table2[2025])</f>
        <v>6.7695944747193113E-4</v>
      </c>
      <c r="N131" s="4"/>
      <c r="O131" s="1" t="s">
        <v>122</v>
      </c>
      <c r="P131" s="4">
        <v>120340605</v>
      </c>
      <c r="Q131" s="4">
        <v>-180595774</v>
      </c>
      <c r="R131" s="4">
        <v>-335180056</v>
      </c>
      <c r="S131" s="4">
        <v>367218158</v>
      </c>
      <c r="T131" s="4">
        <v>376393574</v>
      </c>
      <c r="U131" s="4">
        <v>437859394</v>
      </c>
      <c r="V131" s="4">
        <v>52422375</v>
      </c>
      <c r="W131" s="4">
        <v>-109814288</v>
      </c>
      <c r="X131" s="4">
        <v>-508131425</v>
      </c>
      <c r="Y131" s="4">
        <v>-434808922</v>
      </c>
      <c r="Z131" s="4">
        <v>-569416068</v>
      </c>
    </row>
    <row r="132" spans="1:26" s="1" customFormat="1" ht="12.5" x14ac:dyDescent="0.25">
      <c r="A132" s="1" t="s">
        <v>243</v>
      </c>
      <c r="B132" s="4">
        <v>20390183603</v>
      </c>
      <c r="C132" s="4">
        <v>20618709332</v>
      </c>
      <c r="D132" s="4">
        <v>19162420861</v>
      </c>
      <c r="E132" s="4">
        <v>15339230525</v>
      </c>
      <c r="F132" s="4">
        <v>14476811470</v>
      </c>
      <c r="G132" s="4">
        <v>12441367897</v>
      </c>
      <c r="H132" s="4">
        <v>17183981754</v>
      </c>
      <c r="I132" s="4">
        <v>14599636999</v>
      </c>
      <c r="J132" s="4">
        <v>14903654601</v>
      </c>
      <c r="K132" s="4">
        <v>8515102413</v>
      </c>
      <c r="L132" s="4">
        <v>10079463892</v>
      </c>
      <c r="M132" s="6">
        <f>Table2[[#This Row],[2025]]/SUM(Table2[2025])</f>
        <v>6.3460252437822536E-4</v>
      </c>
      <c r="N132" s="4"/>
      <c r="O132" s="1" t="s">
        <v>123</v>
      </c>
      <c r="P132" s="4">
        <v>-59138788</v>
      </c>
      <c r="Q132" s="4">
        <v>-370848804</v>
      </c>
      <c r="R132" s="4">
        <v>-10115531</v>
      </c>
      <c r="S132" s="4">
        <v>54794116</v>
      </c>
      <c r="T132" s="4">
        <v>1122505</v>
      </c>
      <c r="U132" s="4">
        <v>-65737292</v>
      </c>
      <c r="V132" s="4">
        <v>214483239</v>
      </c>
      <c r="W132" s="4">
        <v>-78156115</v>
      </c>
      <c r="X132" s="4">
        <v>2343310746</v>
      </c>
      <c r="Y132" s="4">
        <v>1890355706</v>
      </c>
      <c r="Z132" s="4">
        <v>2226460679</v>
      </c>
    </row>
    <row r="133" spans="1:26" s="1" customFormat="1" ht="12.5" x14ac:dyDescent="0.25">
      <c r="A133" s="1" t="s">
        <v>177</v>
      </c>
      <c r="B133" s="4">
        <v>2629003106</v>
      </c>
      <c r="C133" s="4">
        <v>2809138578</v>
      </c>
      <c r="D133" s="4">
        <v>2935772022</v>
      </c>
      <c r="E133" s="4">
        <v>3473382494</v>
      </c>
      <c r="F133" s="4">
        <v>3933346924</v>
      </c>
      <c r="G133" s="4">
        <v>4978069061</v>
      </c>
      <c r="H133" s="4">
        <v>5609653169</v>
      </c>
      <c r="I133" s="4">
        <v>7231169894</v>
      </c>
      <c r="J133" s="4">
        <v>8878561685</v>
      </c>
      <c r="K133" s="4">
        <v>10141977272</v>
      </c>
      <c r="L133" s="4">
        <v>9862808795</v>
      </c>
      <c r="M133" s="6">
        <f>Table2[[#This Row],[2025]]/SUM(Table2[2025])</f>
        <v>6.2096193069697474E-4</v>
      </c>
      <c r="N133" s="4"/>
      <c r="O133" s="1" t="s">
        <v>124</v>
      </c>
      <c r="P133" s="4">
        <v>22271611</v>
      </c>
      <c r="Q133" s="4">
        <v>-84307597</v>
      </c>
      <c r="R133" s="4">
        <v>-93169760</v>
      </c>
      <c r="S133" s="4">
        <v>-103912558</v>
      </c>
      <c r="T133" s="4">
        <v>-45055212</v>
      </c>
      <c r="U133" s="4">
        <v>-28304394</v>
      </c>
      <c r="V133" s="4">
        <v>-38726350</v>
      </c>
      <c r="W133" s="4">
        <v>-37468708</v>
      </c>
      <c r="X133" s="4">
        <v>-41897359</v>
      </c>
      <c r="Y133" s="4">
        <v>-26152220</v>
      </c>
      <c r="Z133" s="4">
        <v>-74856358</v>
      </c>
    </row>
    <row r="134" spans="1:26" s="1" customFormat="1" ht="12.5" x14ac:dyDescent="0.25">
      <c r="A134" s="1" t="s">
        <v>123</v>
      </c>
      <c r="B134" s="4">
        <v>1125161603</v>
      </c>
      <c r="C134" s="4">
        <v>660033405</v>
      </c>
      <c r="D134" s="4">
        <v>722100110</v>
      </c>
      <c r="E134" s="4">
        <v>809727231</v>
      </c>
      <c r="F134" s="4">
        <v>1002918857</v>
      </c>
      <c r="G134" s="4">
        <v>1141603344</v>
      </c>
      <c r="H134" s="4">
        <v>1704095825</v>
      </c>
      <c r="I134" s="4">
        <v>1420143948</v>
      </c>
      <c r="J134" s="4">
        <v>4395815778</v>
      </c>
      <c r="K134" s="4">
        <v>7147064424</v>
      </c>
      <c r="L134" s="4">
        <v>9674819291</v>
      </c>
      <c r="M134" s="6">
        <f>Table2[[#This Row],[2025]]/SUM(Table2[2025])</f>
        <v>6.0912612126571154E-4</v>
      </c>
      <c r="N134" s="4"/>
      <c r="O134" s="1" t="s">
        <v>125</v>
      </c>
      <c r="P134" s="4">
        <v>164976624</v>
      </c>
      <c r="Q134" s="4">
        <v>190705128</v>
      </c>
      <c r="R134" s="4">
        <v>38127277</v>
      </c>
      <c r="S134" s="4">
        <v>26711839</v>
      </c>
      <c r="T134" s="4">
        <v>41330146</v>
      </c>
      <c r="U134" s="4">
        <v>56522441</v>
      </c>
      <c r="V134" s="4">
        <v>39720139</v>
      </c>
      <c r="W134" s="4">
        <v>-4347905</v>
      </c>
      <c r="X134" s="4">
        <v>55886866</v>
      </c>
      <c r="Y134" s="4">
        <v>26739373</v>
      </c>
      <c r="Z134" s="4">
        <v>5652702</v>
      </c>
    </row>
    <row r="135" spans="1:26" s="1" customFormat="1" ht="12.5" x14ac:dyDescent="0.25">
      <c r="A135" s="1" t="s">
        <v>323</v>
      </c>
      <c r="B135" s="1" t="s">
        <v>21</v>
      </c>
      <c r="C135" s="1" t="s">
        <v>21</v>
      </c>
      <c r="D135" s="4">
        <v>966892827</v>
      </c>
      <c r="E135" s="4">
        <v>1529929328</v>
      </c>
      <c r="F135" s="4">
        <v>2618916014</v>
      </c>
      <c r="G135" s="4">
        <v>3663641572</v>
      </c>
      <c r="H135" s="4">
        <v>5363361127</v>
      </c>
      <c r="I135" s="4">
        <v>5148033383</v>
      </c>
      <c r="J135" s="4">
        <v>6368670607</v>
      </c>
      <c r="K135" s="4">
        <v>7587797169</v>
      </c>
      <c r="L135" s="4">
        <v>9497952563</v>
      </c>
      <c r="M135" s="6">
        <f>Table2[[#This Row],[2025]]/SUM(Table2[2025])</f>
        <v>5.9799060123508761E-4</v>
      </c>
      <c r="N135" s="4"/>
      <c r="O135" s="1" t="s">
        <v>126</v>
      </c>
      <c r="P135" s="4">
        <v>50256961</v>
      </c>
      <c r="Q135" s="4">
        <v>-5634830</v>
      </c>
      <c r="R135" s="4">
        <v>-62295267</v>
      </c>
      <c r="S135" s="4">
        <v>7236731</v>
      </c>
      <c r="T135" s="4">
        <v>-139239841</v>
      </c>
      <c r="U135" s="4">
        <v>183421333</v>
      </c>
      <c r="V135" s="4">
        <v>-67432911</v>
      </c>
      <c r="W135" s="4">
        <v>-1292851617</v>
      </c>
      <c r="X135" s="4">
        <v>-247655258</v>
      </c>
      <c r="Y135" s="4">
        <v>-55633837</v>
      </c>
      <c r="Z135" s="4">
        <v>-288286061</v>
      </c>
    </row>
    <row r="136" spans="1:26" s="1" customFormat="1" ht="12.5" x14ac:dyDescent="0.25">
      <c r="A136" s="1" t="s">
        <v>447</v>
      </c>
      <c r="B136" s="1" t="s">
        <v>21</v>
      </c>
      <c r="C136" s="1" t="s">
        <v>21</v>
      </c>
      <c r="D136" s="1" t="s">
        <v>21</v>
      </c>
      <c r="E136" s="1" t="s">
        <v>21</v>
      </c>
      <c r="F136" s="1" t="s">
        <v>21</v>
      </c>
      <c r="G136" s="1" t="s">
        <v>21</v>
      </c>
      <c r="H136" s="1" t="s">
        <v>21</v>
      </c>
      <c r="I136" s="4">
        <v>1733512283</v>
      </c>
      <c r="J136" s="4">
        <v>4695460595</v>
      </c>
      <c r="K136" s="4">
        <v>6642549437</v>
      </c>
      <c r="L136" s="4">
        <v>9427822651</v>
      </c>
      <c r="M136" s="6">
        <f>Table2[[#This Row],[2025]]/SUM(Table2[2025])</f>
        <v>5.9357522560931188E-4</v>
      </c>
      <c r="N136" s="4"/>
      <c r="O136" s="1" t="s">
        <v>127</v>
      </c>
      <c r="P136" s="4">
        <v>-183258728</v>
      </c>
      <c r="Q136" s="4">
        <v>787651589</v>
      </c>
      <c r="R136" s="4">
        <v>273165962</v>
      </c>
      <c r="S136" s="4">
        <v>1043261601</v>
      </c>
      <c r="T136" s="4">
        <v>481832712</v>
      </c>
      <c r="U136" s="4">
        <v>-27195525</v>
      </c>
      <c r="V136" s="4">
        <v>1268273220</v>
      </c>
      <c r="W136" s="4">
        <v>81048121</v>
      </c>
      <c r="X136" s="4">
        <v>1131529530</v>
      </c>
      <c r="Y136" s="4">
        <v>-1692974073</v>
      </c>
      <c r="Z136" s="4">
        <v>1461285105</v>
      </c>
    </row>
    <row r="137" spans="1:26" s="1" customFormat="1" ht="12.5" x14ac:dyDescent="0.25">
      <c r="A137" s="1" t="s">
        <v>99</v>
      </c>
      <c r="B137" s="4">
        <v>654740228</v>
      </c>
      <c r="C137" s="4">
        <v>991321540</v>
      </c>
      <c r="D137" s="4">
        <v>1023606864</v>
      </c>
      <c r="E137" s="4">
        <v>1499188260</v>
      </c>
      <c r="F137" s="4">
        <v>1840845472</v>
      </c>
      <c r="G137" s="4">
        <v>2439427861</v>
      </c>
      <c r="H137" s="4">
        <v>1944589490</v>
      </c>
      <c r="I137" s="4">
        <v>2414975045</v>
      </c>
      <c r="J137" s="4">
        <v>4512006461</v>
      </c>
      <c r="K137" s="4">
        <v>6412326258</v>
      </c>
      <c r="L137" s="4">
        <v>9398595753</v>
      </c>
      <c r="M137" s="6">
        <f>Table2[[#This Row],[2025]]/SUM(Table2[2025])</f>
        <v>5.9173510162560824E-4</v>
      </c>
      <c r="N137" s="4"/>
      <c r="O137" s="1" t="s">
        <v>128</v>
      </c>
      <c r="P137" s="4">
        <v>920726963</v>
      </c>
      <c r="Q137" s="4">
        <v>174341739</v>
      </c>
      <c r="R137" s="4">
        <v>147536917</v>
      </c>
      <c r="S137" s="4">
        <v>494144623</v>
      </c>
      <c r="T137" s="4">
        <v>279550591</v>
      </c>
      <c r="U137" s="4">
        <v>916883766</v>
      </c>
      <c r="V137" s="4">
        <v>446607092</v>
      </c>
      <c r="W137" s="4">
        <v>107101180</v>
      </c>
      <c r="X137" s="4">
        <v>-302347998</v>
      </c>
      <c r="Y137" s="4">
        <v>-224548171</v>
      </c>
      <c r="Z137" s="4">
        <v>-406858288</v>
      </c>
    </row>
    <row r="138" spans="1:26" s="1" customFormat="1" ht="12.5" x14ac:dyDescent="0.25">
      <c r="A138" s="1" t="s">
        <v>88</v>
      </c>
      <c r="B138" s="4">
        <v>521684362</v>
      </c>
      <c r="C138" s="4">
        <v>847062962</v>
      </c>
      <c r="D138" s="4">
        <v>1324563651</v>
      </c>
      <c r="E138" s="4">
        <v>1874130465</v>
      </c>
      <c r="F138" s="4">
        <v>3678870396</v>
      </c>
      <c r="G138" s="4">
        <v>3844160591</v>
      </c>
      <c r="H138" s="4">
        <v>4501502188</v>
      </c>
      <c r="I138" s="4">
        <v>4737820969</v>
      </c>
      <c r="J138" s="4">
        <v>6233478208</v>
      </c>
      <c r="K138" s="4">
        <v>7571356935</v>
      </c>
      <c r="L138" s="4">
        <v>9383735257</v>
      </c>
      <c r="M138" s="6">
        <f>Table2[[#This Row],[2025]]/SUM(Table2[2025])</f>
        <v>5.9079948556743699E-4</v>
      </c>
      <c r="N138" s="4"/>
      <c r="O138" s="1" t="s">
        <v>129</v>
      </c>
      <c r="P138" s="4">
        <v>-172351051</v>
      </c>
      <c r="Q138" s="4">
        <v>54600655</v>
      </c>
      <c r="R138" s="4">
        <v>71040371</v>
      </c>
      <c r="S138" s="4">
        <v>-10474776</v>
      </c>
      <c r="T138" s="4">
        <v>29062393</v>
      </c>
      <c r="U138" s="4">
        <v>123270372</v>
      </c>
      <c r="V138" s="4">
        <v>115482203</v>
      </c>
      <c r="W138" s="4">
        <v>-107367619</v>
      </c>
      <c r="X138" s="4">
        <v>-35286806</v>
      </c>
      <c r="Y138" s="4">
        <v>-100458236</v>
      </c>
      <c r="Z138" s="4">
        <v>-192891929</v>
      </c>
    </row>
    <row r="139" spans="1:26" s="1" customFormat="1" ht="12.5" x14ac:dyDescent="0.25">
      <c r="A139" s="1" t="s">
        <v>209</v>
      </c>
      <c r="B139" s="4">
        <v>5882868893</v>
      </c>
      <c r="C139" s="4">
        <v>6440685408</v>
      </c>
      <c r="D139" s="4">
        <v>7259585592</v>
      </c>
      <c r="E139" s="4">
        <v>7257607293</v>
      </c>
      <c r="F139" s="4">
        <v>5202299900</v>
      </c>
      <c r="G139" s="4">
        <v>5279251902</v>
      </c>
      <c r="H139" s="4">
        <v>6579147222</v>
      </c>
      <c r="I139" s="4">
        <v>7455822159</v>
      </c>
      <c r="J139" s="4">
        <v>7220114319</v>
      </c>
      <c r="K139" s="4">
        <v>9660565796</v>
      </c>
      <c r="L139" s="4">
        <v>9205307903</v>
      </c>
      <c r="M139" s="6">
        <f>Table2[[#This Row],[2025]]/SUM(Table2[2025])</f>
        <v>5.7956570860471601E-4</v>
      </c>
      <c r="N139" s="4"/>
      <c r="O139" s="1" t="s">
        <v>130</v>
      </c>
      <c r="P139" s="4">
        <v>155838571</v>
      </c>
      <c r="Q139" s="4">
        <v>-395592234</v>
      </c>
      <c r="R139" s="4">
        <v>-280523550</v>
      </c>
      <c r="S139" s="4">
        <v>-36887142</v>
      </c>
      <c r="T139" s="4">
        <v>-107796591</v>
      </c>
      <c r="U139" s="4">
        <v>177663739</v>
      </c>
      <c r="V139" s="4">
        <v>386538482</v>
      </c>
      <c r="W139" s="4">
        <v>1046461859</v>
      </c>
      <c r="X139" s="4">
        <v>48490637</v>
      </c>
      <c r="Y139" s="4">
        <v>-293719747</v>
      </c>
      <c r="Z139" s="4">
        <v>-64227845</v>
      </c>
    </row>
    <row r="140" spans="1:26" s="1" customFormat="1" ht="12.5" x14ac:dyDescent="0.25">
      <c r="A140" s="1" t="s">
        <v>438</v>
      </c>
      <c r="B140" s="1" t="s">
        <v>21</v>
      </c>
      <c r="C140" s="1" t="s">
        <v>21</v>
      </c>
      <c r="D140" s="1" t="s">
        <v>21</v>
      </c>
      <c r="E140" s="1" t="s">
        <v>21</v>
      </c>
      <c r="F140" s="1" t="s">
        <v>21</v>
      </c>
      <c r="G140" s="1" t="s">
        <v>21</v>
      </c>
      <c r="H140" s="1" t="s">
        <v>21</v>
      </c>
      <c r="I140" s="4">
        <v>4953663953</v>
      </c>
      <c r="J140" s="4">
        <v>5571017684</v>
      </c>
      <c r="K140" s="4">
        <v>6150123222</v>
      </c>
      <c r="L140" s="4">
        <v>8908344743</v>
      </c>
      <c r="M140" s="6">
        <f>Table2[[#This Row],[2025]]/SUM(Table2[2025])</f>
        <v>5.6086892343810513E-4</v>
      </c>
      <c r="N140" s="4"/>
      <c r="O140" s="1" t="s">
        <v>131</v>
      </c>
      <c r="P140" s="4">
        <v>250761466</v>
      </c>
      <c r="Q140" s="4">
        <v>129159351</v>
      </c>
      <c r="R140" s="4">
        <v>-153429343</v>
      </c>
      <c r="S140" s="4">
        <v>-311723443</v>
      </c>
      <c r="T140" s="4">
        <v>-280340867</v>
      </c>
      <c r="U140" s="4">
        <v>-114966789</v>
      </c>
      <c r="V140" s="4">
        <v>-62948256</v>
      </c>
      <c r="W140" s="4">
        <v>29057142</v>
      </c>
      <c r="X140" s="4">
        <v>158354787</v>
      </c>
      <c r="Y140" s="4">
        <v>-382922953</v>
      </c>
      <c r="Z140" s="4">
        <v>-25469153</v>
      </c>
    </row>
    <row r="141" spans="1:26" s="1" customFormat="1" ht="12.5" x14ac:dyDescent="0.25">
      <c r="A141" s="1" t="s">
        <v>207</v>
      </c>
      <c r="B141" s="4">
        <v>5735859616</v>
      </c>
      <c r="C141" s="4">
        <v>4812587764</v>
      </c>
      <c r="D141" s="4">
        <v>4060324103</v>
      </c>
      <c r="E141" s="4">
        <v>2842031633</v>
      </c>
      <c r="F141" s="4">
        <v>4027011964</v>
      </c>
      <c r="G141" s="4">
        <v>3729958813</v>
      </c>
      <c r="H141" s="4">
        <v>4181998173</v>
      </c>
      <c r="I141" s="4">
        <v>7112575198</v>
      </c>
      <c r="J141" s="4">
        <v>6531055731</v>
      </c>
      <c r="K141" s="4">
        <v>8127142544</v>
      </c>
      <c r="L141" s="4">
        <v>8783140311</v>
      </c>
      <c r="M141" s="7">
        <f>Table2[[#This Row],[2025]]/SUM(Table2[2025])</f>
        <v>5.5298605888678661E-4</v>
      </c>
      <c r="O141" s="1" t="s">
        <v>132</v>
      </c>
      <c r="P141" s="4">
        <v>200251829</v>
      </c>
      <c r="Q141" s="4">
        <v>-9363732</v>
      </c>
      <c r="R141" s="4">
        <v>205055083</v>
      </c>
      <c r="S141" s="4">
        <v>201134652</v>
      </c>
      <c r="T141" s="4">
        <v>139706919</v>
      </c>
      <c r="U141" s="4">
        <v>-172620378</v>
      </c>
      <c r="V141" s="4">
        <v>-185722840</v>
      </c>
      <c r="W141" s="4">
        <v>167163363</v>
      </c>
      <c r="X141" s="4">
        <v>70064294</v>
      </c>
      <c r="Y141" s="4">
        <v>-130228671</v>
      </c>
      <c r="Z141" s="4">
        <v>-334515359</v>
      </c>
    </row>
    <row r="142" spans="1:26" s="1" customFormat="1" ht="12.5" x14ac:dyDescent="0.25">
      <c r="A142" s="1" t="s">
        <v>53</v>
      </c>
      <c r="B142" s="4">
        <v>225632665</v>
      </c>
      <c r="C142" s="4">
        <v>259262154</v>
      </c>
      <c r="D142" s="4">
        <v>357628014</v>
      </c>
      <c r="E142" s="4">
        <v>1767544702</v>
      </c>
      <c r="F142" s="4">
        <v>3000284038</v>
      </c>
      <c r="G142" s="4">
        <v>4257332349</v>
      </c>
      <c r="H142" s="4">
        <v>5429751138</v>
      </c>
      <c r="I142" s="4">
        <v>5696749708</v>
      </c>
      <c r="J142" s="4">
        <v>6979746307</v>
      </c>
      <c r="K142" s="4">
        <v>8142341741</v>
      </c>
      <c r="L142" s="4">
        <v>8763845965</v>
      </c>
      <c r="M142" s="6">
        <f>Table2[[#This Row],[2025]]/SUM(Table2[2025])</f>
        <v>5.5177128786235304E-4</v>
      </c>
      <c r="N142" s="4"/>
      <c r="O142" s="1" t="s">
        <v>133</v>
      </c>
      <c r="P142" s="4">
        <v>352872744</v>
      </c>
      <c r="Q142" s="4">
        <v>949087524</v>
      </c>
      <c r="R142" s="4">
        <v>3730171665</v>
      </c>
      <c r="S142" s="4">
        <v>603710193</v>
      </c>
      <c r="T142" s="4">
        <v>331815266</v>
      </c>
      <c r="U142" s="4">
        <v>1616208360</v>
      </c>
      <c r="V142" s="4">
        <v>957079527</v>
      </c>
      <c r="W142" s="4">
        <v>-356458703</v>
      </c>
      <c r="X142" s="4">
        <v>-156302836</v>
      </c>
      <c r="Y142" s="4">
        <v>2341804300</v>
      </c>
      <c r="Z142" s="4">
        <v>11220773441</v>
      </c>
    </row>
    <row r="143" spans="1:26" s="1" customFormat="1" ht="12.5" x14ac:dyDescent="0.25">
      <c r="A143" s="1" t="s">
        <v>69</v>
      </c>
      <c r="B143" s="4">
        <v>325159481</v>
      </c>
      <c r="C143" s="4">
        <v>441393254</v>
      </c>
      <c r="D143" s="4">
        <v>509612741</v>
      </c>
      <c r="E143" s="4">
        <v>609640573</v>
      </c>
      <c r="F143" s="4">
        <v>784164753</v>
      </c>
      <c r="G143" s="4">
        <v>1748449989</v>
      </c>
      <c r="H143" s="4">
        <v>2298398740</v>
      </c>
      <c r="I143" s="4">
        <v>4241598952</v>
      </c>
      <c r="J143" s="4">
        <v>5196588292</v>
      </c>
      <c r="K143" s="4">
        <v>8451500905</v>
      </c>
      <c r="L143" s="4">
        <v>8577081902</v>
      </c>
      <c r="M143" s="6">
        <f>Table2[[#This Row],[2025]]/SUM(Table2[2025])</f>
        <v>5.4001263213295425E-4</v>
      </c>
      <c r="N143" s="4"/>
      <c r="O143" s="1" t="s">
        <v>134</v>
      </c>
      <c r="P143" s="4">
        <v>63086720</v>
      </c>
      <c r="Q143" s="4">
        <v>235358150</v>
      </c>
      <c r="R143" s="4">
        <v>16766071</v>
      </c>
      <c r="S143" s="4">
        <v>153034514</v>
      </c>
      <c r="T143" s="4">
        <v>-100559095</v>
      </c>
      <c r="U143" s="4">
        <v>143842477</v>
      </c>
      <c r="V143" s="4">
        <v>299389803</v>
      </c>
      <c r="W143" s="4">
        <v>-108196154</v>
      </c>
      <c r="X143" s="4">
        <v>38528952</v>
      </c>
      <c r="Y143" s="4">
        <v>989100945</v>
      </c>
      <c r="Z143" s="4">
        <v>783143825</v>
      </c>
    </row>
    <row r="144" spans="1:26" s="1" customFormat="1" ht="12.5" x14ac:dyDescent="0.25">
      <c r="A144" s="1" t="s">
        <v>231</v>
      </c>
      <c r="B144" s="4">
        <v>12043382493</v>
      </c>
      <c r="C144" s="4">
        <v>12376660283</v>
      </c>
      <c r="D144" s="4">
        <v>17710376138</v>
      </c>
      <c r="E144" s="4">
        <v>19741413241</v>
      </c>
      <c r="F144" s="4">
        <v>30371229479</v>
      </c>
      <c r="G144" s="4">
        <v>35457316693</v>
      </c>
      <c r="H144" s="4">
        <v>33379618945</v>
      </c>
      <c r="I144" s="4">
        <v>27674057921</v>
      </c>
      <c r="J144" s="4">
        <v>25548699911</v>
      </c>
      <c r="K144" s="4">
        <v>21138194522</v>
      </c>
      <c r="L144" s="4">
        <v>8566474795</v>
      </c>
      <c r="M144" s="6">
        <f>Table2[[#This Row],[2025]]/SUM(Table2[2025])</f>
        <v>5.3934480922583584E-4</v>
      </c>
      <c r="N144" s="4"/>
      <c r="O144" s="1" t="s">
        <v>135</v>
      </c>
      <c r="P144" s="4">
        <v>2555618</v>
      </c>
      <c r="Q144" s="4">
        <v>42467175</v>
      </c>
      <c r="R144" s="4">
        <v>-1470889</v>
      </c>
      <c r="S144" s="4">
        <v>288570486</v>
      </c>
      <c r="T144" s="4">
        <v>143549193</v>
      </c>
      <c r="U144" s="4">
        <v>1235733798</v>
      </c>
      <c r="V144" s="4">
        <v>1849846491</v>
      </c>
      <c r="W144" s="4">
        <v>699902455</v>
      </c>
      <c r="X144" s="4">
        <v>3536139347</v>
      </c>
      <c r="Y144" s="4">
        <v>1335423573</v>
      </c>
      <c r="Z144" s="4">
        <v>3185454835</v>
      </c>
    </row>
    <row r="145" spans="1:26" s="1" customFormat="1" ht="12.5" x14ac:dyDescent="0.25">
      <c r="A145" s="1" t="s">
        <v>220</v>
      </c>
      <c r="B145" s="4">
        <v>9582190603</v>
      </c>
      <c r="C145" s="4">
        <v>7131134242</v>
      </c>
      <c r="D145" s="4">
        <v>6627119050</v>
      </c>
      <c r="E145" s="4">
        <v>5545044503</v>
      </c>
      <c r="F145" s="4">
        <v>6297488544</v>
      </c>
      <c r="G145" s="4">
        <v>6951442808</v>
      </c>
      <c r="H145" s="4">
        <v>6575161133</v>
      </c>
      <c r="I145" s="4">
        <v>6197795823</v>
      </c>
      <c r="J145" s="4">
        <v>6926816205</v>
      </c>
      <c r="K145" s="4">
        <v>9459952380</v>
      </c>
      <c r="L145" s="4">
        <v>8390216029</v>
      </c>
      <c r="M145" s="6">
        <f>Table2[[#This Row],[2025]]/SUM(Table2[2025])</f>
        <v>5.2824756645123067E-4</v>
      </c>
      <c r="N145" s="4"/>
      <c r="O145" s="1" t="s">
        <v>136</v>
      </c>
      <c r="P145" s="4">
        <v>376383769</v>
      </c>
      <c r="Q145" s="4">
        <v>-7731762</v>
      </c>
      <c r="R145" s="4">
        <v>-31168754</v>
      </c>
      <c r="S145" s="4">
        <v>121784890</v>
      </c>
      <c r="T145" s="4">
        <v>403574780</v>
      </c>
      <c r="U145" s="4">
        <v>124663483</v>
      </c>
      <c r="V145" s="4">
        <v>301391064</v>
      </c>
      <c r="W145" s="4">
        <v>-13773225</v>
      </c>
      <c r="X145" s="4">
        <v>-18197754</v>
      </c>
      <c r="Y145" s="4">
        <v>-42216335</v>
      </c>
      <c r="Z145" s="4">
        <v>-340998098</v>
      </c>
    </row>
    <row r="146" spans="1:26" s="1" customFormat="1" ht="12.5" x14ac:dyDescent="0.25">
      <c r="A146" s="1" t="s">
        <v>396</v>
      </c>
      <c r="B146" s="1" t="s">
        <v>21</v>
      </c>
      <c r="C146" s="1" t="s">
        <v>21</v>
      </c>
      <c r="D146" s="1" t="s">
        <v>21</v>
      </c>
      <c r="E146" s="1" t="s">
        <v>21</v>
      </c>
      <c r="F146" s="1" t="s">
        <v>21</v>
      </c>
      <c r="G146" s="4">
        <v>6817275264</v>
      </c>
      <c r="H146" s="4">
        <v>8191809623</v>
      </c>
      <c r="I146" s="4">
        <v>6681744010</v>
      </c>
      <c r="J146" s="4">
        <v>7494161627</v>
      </c>
      <c r="K146" s="4">
        <v>7610866491</v>
      </c>
      <c r="L146" s="4">
        <v>8161141412</v>
      </c>
      <c r="M146" s="6">
        <f>Table2[[#This Row],[2025]]/SUM(Table2[2025])</f>
        <v>5.1382504043429088E-4</v>
      </c>
      <c r="N146" s="4"/>
      <c r="O146" s="1" t="s">
        <v>137</v>
      </c>
      <c r="P146" s="4">
        <v>1164882773</v>
      </c>
      <c r="Q146" s="4">
        <v>775080354</v>
      </c>
      <c r="R146" s="4">
        <v>385932452</v>
      </c>
      <c r="S146" s="4">
        <v>725669636</v>
      </c>
      <c r="T146" s="4">
        <v>132146731</v>
      </c>
      <c r="U146" s="4">
        <v>191596787</v>
      </c>
      <c r="V146" s="4">
        <v>519962742</v>
      </c>
      <c r="W146" s="4">
        <v>669535259</v>
      </c>
      <c r="X146" s="4">
        <v>27566702</v>
      </c>
      <c r="Y146" s="4">
        <v>-456178487</v>
      </c>
      <c r="Z146" s="4">
        <v>-506436010</v>
      </c>
    </row>
    <row r="147" spans="1:26" s="1" customFormat="1" ht="12.5" x14ac:dyDescent="0.25">
      <c r="A147" s="1" t="s">
        <v>167</v>
      </c>
      <c r="B147" s="4">
        <v>2335571010</v>
      </c>
      <c r="C147" s="4">
        <v>2097269459</v>
      </c>
      <c r="D147" s="4">
        <v>2609107496</v>
      </c>
      <c r="E147" s="4">
        <v>2369130075</v>
      </c>
      <c r="F147" s="4">
        <v>2340097752</v>
      </c>
      <c r="G147" s="4">
        <v>2413158362</v>
      </c>
      <c r="H147" s="4">
        <v>4229429232</v>
      </c>
      <c r="I147" s="4">
        <v>5012732756</v>
      </c>
      <c r="J147" s="4">
        <v>5304780629</v>
      </c>
      <c r="K147" s="4">
        <v>6141692809</v>
      </c>
      <c r="L147" s="4">
        <v>7880870433</v>
      </c>
      <c r="M147" s="6">
        <f>Table2[[#This Row],[2025]]/SUM(Table2[2025])</f>
        <v>4.9617919411854353E-4</v>
      </c>
      <c r="N147" s="4"/>
      <c r="O147" s="1" t="s">
        <v>138</v>
      </c>
      <c r="P147" s="4">
        <v>228414949</v>
      </c>
      <c r="Q147" s="4">
        <v>7368834</v>
      </c>
      <c r="R147" s="4">
        <v>54455505</v>
      </c>
      <c r="S147" s="4">
        <v>2275607</v>
      </c>
      <c r="T147" s="4">
        <v>4951939</v>
      </c>
      <c r="U147" s="4">
        <v>102122317</v>
      </c>
      <c r="V147" s="4">
        <v>22391328</v>
      </c>
      <c r="W147" s="4">
        <v>-1944318</v>
      </c>
      <c r="X147" s="4">
        <v>-1955432</v>
      </c>
      <c r="Y147" s="4">
        <v>-23330182</v>
      </c>
      <c r="Z147" s="4">
        <v>-87455</v>
      </c>
    </row>
    <row r="148" spans="1:26" s="1" customFormat="1" ht="12.5" x14ac:dyDescent="0.25">
      <c r="A148" s="1" t="s">
        <v>200</v>
      </c>
      <c r="B148" s="4">
        <v>5106682950</v>
      </c>
      <c r="C148" s="4">
        <v>5553726330</v>
      </c>
      <c r="D148" s="4">
        <v>6915535653</v>
      </c>
      <c r="E148" s="4">
        <v>6837303964</v>
      </c>
      <c r="F148" s="4">
        <v>5153176633</v>
      </c>
      <c r="G148" s="4">
        <v>5636018726</v>
      </c>
      <c r="H148" s="4">
        <v>6088395847</v>
      </c>
      <c r="I148" s="4">
        <v>6229075314</v>
      </c>
      <c r="J148" s="4">
        <v>6629721911</v>
      </c>
      <c r="K148" s="4">
        <v>6587416763</v>
      </c>
      <c r="L148" s="4">
        <v>7760215555</v>
      </c>
      <c r="M148" s="6">
        <f>Table2[[#This Row],[2025]]/SUM(Table2[2025])</f>
        <v>4.8858276925133222E-4</v>
      </c>
      <c r="N148" s="4"/>
      <c r="O148" s="1" t="s">
        <v>139</v>
      </c>
      <c r="P148" s="4">
        <v>811813806</v>
      </c>
      <c r="Q148" s="4">
        <v>60352582</v>
      </c>
      <c r="R148" s="4">
        <v>24174200</v>
      </c>
      <c r="S148" s="4">
        <v>-8861126</v>
      </c>
      <c r="T148" s="4">
        <v>21051363</v>
      </c>
      <c r="U148" s="4">
        <v>18638533</v>
      </c>
      <c r="V148" s="4">
        <v>118128776</v>
      </c>
      <c r="W148" s="4">
        <v>230865365</v>
      </c>
      <c r="X148" s="4">
        <v>-123738070</v>
      </c>
      <c r="Y148" s="4">
        <v>21247533</v>
      </c>
      <c r="Z148" s="4">
        <v>200072842</v>
      </c>
    </row>
    <row r="149" spans="1:26" s="1" customFormat="1" ht="12.5" x14ac:dyDescent="0.25">
      <c r="A149" s="1" t="s">
        <v>402</v>
      </c>
      <c r="B149" s="1" t="s">
        <v>21</v>
      </c>
      <c r="C149" s="1" t="s">
        <v>21</v>
      </c>
      <c r="D149" s="1" t="s">
        <v>21</v>
      </c>
      <c r="E149" s="1" t="s">
        <v>21</v>
      </c>
      <c r="F149" s="1" t="s">
        <v>21</v>
      </c>
      <c r="G149" s="4">
        <v>455914054</v>
      </c>
      <c r="H149" s="4">
        <v>609931876</v>
      </c>
      <c r="I149" s="4">
        <v>1899821705</v>
      </c>
      <c r="J149" s="4">
        <v>3132271622</v>
      </c>
      <c r="K149" s="4">
        <v>6355407458</v>
      </c>
      <c r="L149" s="4">
        <v>7647036007</v>
      </c>
      <c r="M149" s="6">
        <f>Table2[[#This Row],[2025]]/SUM(Table2[2025])</f>
        <v>4.8145699077359073E-4</v>
      </c>
      <c r="N149" s="4"/>
      <c r="O149" s="1" t="s">
        <v>140</v>
      </c>
      <c r="P149" s="4">
        <v>246127673</v>
      </c>
      <c r="Q149" s="4">
        <v>-235482827</v>
      </c>
      <c r="R149" s="4">
        <v>-128372203</v>
      </c>
      <c r="S149" s="4">
        <v>-373421621</v>
      </c>
      <c r="T149" s="4">
        <v>97182631</v>
      </c>
      <c r="U149" s="4">
        <v>629761524</v>
      </c>
      <c r="V149" s="4">
        <v>18515413</v>
      </c>
      <c r="W149" s="4">
        <v>-11742481</v>
      </c>
      <c r="X149" s="4">
        <v>-130159995</v>
      </c>
      <c r="Y149" s="4">
        <v>207589900</v>
      </c>
      <c r="Z149" s="4">
        <v>-529575263</v>
      </c>
    </row>
    <row r="150" spans="1:26" s="1" customFormat="1" ht="12.5" x14ac:dyDescent="0.25">
      <c r="A150" s="1" t="s">
        <v>185</v>
      </c>
      <c r="B150" s="4">
        <v>3278604509</v>
      </c>
      <c r="C150" s="4">
        <v>3559008780</v>
      </c>
      <c r="D150" s="4">
        <v>4086523165</v>
      </c>
      <c r="E150" s="4">
        <v>3616350546</v>
      </c>
      <c r="F150" s="4">
        <v>4001666340</v>
      </c>
      <c r="G150" s="4">
        <v>4225446225</v>
      </c>
      <c r="H150" s="4">
        <v>5091723047</v>
      </c>
      <c r="I150" s="4">
        <v>5110933393</v>
      </c>
      <c r="J150" s="4">
        <v>6210591584</v>
      </c>
      <c r="K150" s="4">
        <v>6840285642</v>
      </c>
      <c r="L150" s="4">
        <v>7611619254</v>
      </c>
      <c r="M150" s="6">
        <f>Table2[[#This Row],[2025]]/SUM(Table2[2025])</f>
        <v>4.792271538398111E-4</v>
      </c>
      <c r="N150" s="4"/>
      <c r="O150" s="1" t="s">
        <v>141</v>
      </c>
      <c r="P150" s="4">
        <v>451258957</v>
      </c>
      <c r="Q150" s="4">
        <v>-489431702</v>
      </c>
      <c r="R150" s="4">
        <v>4294662</v>
      </c>
      <c r="S150" s="4">
        <v>-51853195</v>
      </c>
      <c r="T150" s="4">
        <v>16845509</v>
      </c>
      <c r="U150" s="4">
        <v>-30623065</v>
      </c>
      <c r="V150" s="4">
        <v>116822655</v>
      </c>
      <c r="W150" s="4">
        <v>-4570302</v>
      </c>
      <c r="X150" s="4">
        <v>-71531726</v>
      </c>
      <c r="Y150" s="4">
        <v>301948762</v>
      </c>
      <c r="Z150" s="4">
        <v>-5755049</v>
      </c>
    </row>
    <row r="151" spans="1:26" s="1" customFormat="1" ht="12.5" x14ac:dyDescent="0.25">
      <c r="A151" s="1" t="s">
        <v>137</v>
      </c>
      <c r="B151" s="4">
        <v>1348841225</v>
      </c>
      <c r="C151" s="4">
        <v>2145620336</v>
      </c>
      <c r="D151" s="4">
        <v>2776823458</v>
      </c>
      <c r="E151" s="4">
        <v>3312683146</v>
      </c>
      <c r="F151" s="4">
        <v>3747966493</v>
      </c>
      <c r="G151" s="4">
        <v>4190720491</v>
      </c>
      <c r="H151" s="4">
        <v>5540968481</v>
      </c>
      <c r="I151" s="4">
        <v>6104134500</v>
      </c>
      <c r="J151" s="4">
        <v>6710452298</v>
      </c>
      <c r="K151" s="4">
        <v>7027580183</v>
      </c>
      <c r="L151" s="4">
        <v>7600691527</v>
      </c>
      <c r="M151" s="6">
        <f>Table2[[#This Row],[2025]]/SUM(Table2[2025])</f>
        <v>4.7853914471410549E-4</v>
      </c>
      <c r="N151" s="4"/>
      <c r="O151" s="1" t="s">
        <v>142</v>
      </c>
      <c r="P151" s="4">
        <v>68205737</v>
      </c>
      <c r="Q151" s="4">
        <v>53934795</v>
      </c>
      <c r="R151" s="4">
        <v>-6271758</v>
      </c>
      <c r="S151" s="4">
        <v>-126745857</v>
      </c>
      <c r="T151" s="4">
        <v>-14588979</v>
      </c>
      <c r="U151" s="4">
        <v>-111408814</v>
      </c>
      <c r="V151" s="4">
        <v>80563382</v>
      </c>
      <c r="W151" s="4">
        <v>39576242</v>
      </c>
      <c r="X151" s="4">
        <v>-8710999</v>
      </c>
      <c r="Y151" s="4">
        <v>-61983111</v>
      </c>
      <c r="Z151" s="4">
        <v>-39139309</v>
      </c>
    </row>
    <row r="152" spans="1:26" s="1" customFormat="1" ht="12.5" x14ac:dyDescent="0.25">
      <c r="A152" s="1" t="s">
        <v>148</v>
      </c>
      <c r="B152" s="4">
        <v>1677441550</v>
      </c>
      <c r="C152" s="4">
        <v>1833414810</v>
      </c>
      <c r="D152" s="4">
        <v>1955701628</v>
      </c>
      <c r="E152" s="4">
        <v>1616369172</v>
      </c>
      <c r="F152" s="4">
        <v>2644124702</v>
      </c>
      <c r="G152" s="4">
        <v>3739754469</v>
      </c>
      <c r="H152" s="4">
        <v>4945550126</v>
      </c>
      <c r="I152" s="4">
        <v>4473034263</v>
      </c>
      <c r="J152" s="4">
        <v>6068768387</v>
      </c>
      <c r="K152" s="4">
        <v>6860653168</v>
      </c>
      <c r="L152" s="4">
        <v>7575969644</v>
      </c>
      <c r="M152" s="6">
        <f>Table2[[#This Row],[2025]]/SUM(Table2[2025])</f>
        <v>4.7698265624137676E-4</v>
      </c>
      <c r="N152" s="4"/>
      <c r="O152" s="1" t="s">
        <v>143</v>
      </c>
      <c r="P152" s="4">
        <v>-170904639</v>
      </c>
      <c r="Q152" s="4">
        <v>-212646806</v>
      </c>
      <c r="R152" s="4">
        <v>-40709050</v>
      </c>
      <c r="S152" s="4">
        <v>-19803727</v>
      </c>
      <c r="T152" s="4">
        <v>-92356072</v>
      </c>
      <c r="U152" s="4">
        <v>-72137242</v>
      </c>
      <c r="V152" s="4">
        <v>267009170</v>
      </c>
      <c r="W152" s="4">
        <v>-330586822</v>
      </c>
      <c r="X152" s="4">
        <v>-297013237</v>
      </c>
      <c r="Y152" s="4">
        <v>-160097235</v>
      </c>
      <c r="Z152" s="4">
        <v>-513090598</v>
      </c>
    </row>
    <row r="153" spans="1:26" s="1" customFormat="1" ht="12.5" x14ac:dyDescent="0.25">
      <c r="A153" s="1" t="s">
        <v>70</v>
      </c>
      <c r="B153" s="4">
        <v>348660584</v>
      </c>
      <c r="C153" s="4">
        <v>351388029</v>
      </c>
      <c r="D153" s="4">
        <v>406455801</v>
      </c>
      <c r="E153" s="4">
        <v>581630915</v>
      </c>
      <c r="F153" s="4">
        <v>2100331145</v>
      </c>
      <c r="G153" s="4">
        <v>6639492429</v>
      </c>
      <c r="H153" s="4">
        <v>9446637153</v>
      </c>
      <c r="I153" s="4">
        <v>12516214616</v>
      </c>
      <c r="J153" s="4">
        <v>16519409632</v>
      </c>
      <c r="K153" s="4">
        <v>8963131138</v>
      </c>
      <c r="L153" s="4">
        <v>7503870552</v>
      </c>
      <c r="M153" s="6">
        <f>Table2[[#This Row],[2025]]/SUM(Table2[2025])</f>
        <v>4.724433011448331E-4</v>
      </c>
      <c r="N153" s="4"/>
      <c r="O153" s="1" t="s">
        <v>144</v>
      </c>
      <c r="P153" s="4">
        <v>-70064251</v>
      </c>
      <c r="Q153" s="4">
        <v>546755935</v>
      </c>
      <c r="R153" s="4">
        <v>257844246</v>
      </c>
      <c r="S153" s="4">
        <v>-298617478</v>
      </c>
      <c r="T153" s="4">
        <v>643644754</v>
      </c>
      <c r="U153" s="4">
        <v>416675463</v>
      </c>
      <c r="V153" s="4">
        <v>-757597320</v>
      </c>
      <c r="W153" s="4">
        <v>384012792</v>
      </c>
      <c r="X153" s="4">
        <v>1256666440</v>
      </c>
      <c r="Y153" s="4">
        <v>6892372</v>
      </c>
      <c r="Z153" s="4">
        <v>430469149</v>
      </c>
    </row>
    <row r="154" spans="1:26" s="1" customFormat="1" ht="12.5" x14ac:dyDescent="0.25">
      <c r="A154" s="1" t="s">
        <v>241</v>
      </c>
      <c r="B154" s="4">
        <v>18022664996</v>
      </c>
      <c r="C154" s="4">
        <v>19815171828</v>
      </c>
      <c r="D154" s="4">
        <v>25446481270</v>
      </c>
      <c r="E154" s="4">
        <v>23826894067</v>
      </c>
      <c r="F154" s="4">
        <v>34067149406</v>
      </c>
      <c r="G154" s="4">
        <v>34235430653</v>
      </c>
      <c r="H154" s="4">
        <v>34374199773</v>
      </c>
      <c r="I154" s="4">
        <v>8004146746</v>
      </c>
      <c r="J154" s="4">
        <v>8132439376</v>
      </c>
      <c r="K154" s="4">
        <v>7991126505</v>
      </c>
      <c r="L154" s="4">
        <v>7398360071</v>
      </c>
      <c r="M154" s="6">
        <f>Table2[[#This Row],[2025]]/SUM(Table2[2025])</f>
        <v>4.6580036672804294E-4</v>
      </c>
      <c r="N154" s="4"/>
      <c r="O154" s="1" t="s">
        <v>145</v>
      </c>
      <c r="P154" s="4">
        <v>26874159</v>
      </c>
      <c r="Q154" s="4">
        <v>114312236</v>
      </c>
      <c r="R154" s="4">
        <v>-158093450</v>
      </c>
      <c r="S154" s="4">
        <v>-134257802</v>
      </c>
      <c r="T154" s="4">
        <v>144450254</v>
      </c>
      <c r="U154" s="4">
        <v>-174857572</v>
      </c>
      <c r="V154" s="4">
        <v>-4116113</v>
      </c>
      <c r="W154" s="4">
        <v>62206057</v>
      </c>
      <c r="X154" s="4">
        <v>-33761529</v>
      </c>
      <c r="Y154" s="4">
        <v>5765371</v>
      </c>
      <c r="Z154" s="4">
        <v>16054055</v>
      </c>
    </row>
    <row r="155" spans="1:26" s="1" customFormat="1" ht="12.5" x14ac:dyDescent="0.25">
      <c r="A155" s="1" t="s">
        <v>181</v>
      </c>
      <c r="B155" s="4">
        <v>2966051595</v>
      </c>
      <c r="C155" s="4">
        <v>3667258109</v>
      </c>
      <c r="D155" s="4">
        <v>3658059391</v>
      </c>
      <c r="E155" s="4">
        <v>3683615446</v>
      </c>
      <c r="F155" s="4">
        <v>1504557064</v>
      </c>
      <c r="G155" s="4">
        <v>2454648843</v>
      </c>
      <c r="H155" s="4">
        <v>6040187478</v>
      </c>
      <c r="I155" s="4">
        <v>6231649480</v>
      </c>
      <c r="J155" s="4">
        <v>6356538544</v>
      </c>
      <c r="K155" s="4">
        <v>6746970793</v>
      </c>
      <c r="L155" s="4">
        <v>7353898848</v>
      </c>
      <c r="M155" s="6">
        <f>Table2[[#This Row],[2025]]/SUM(Table2[2025])</f>
        <v>4.6300109043169771E-4</v>
      </c>
      <c r="N155" s="4"/>
      <c r="O155" s="1" t="s">
        <v>146</v>
      </c>
      <c r="P155" s="4">
        <v>447426550</v>
      </c>
      <c r="Q155" s="4">
        <v>54163717</v>
      </c>
      <c r="R155" s="4">
        <v>226007536</v>
      </c>
      <c r="S155" s="4">
        <v>391385654</v>
      </c>
      <c r="T155" s="4">
        <v>561642953</v>
      </c>
      <c r="U155" s="4">
        <v>-479646708</v>
      </c>
      <c r="V155" s="4">
        <v>478444768</v>
      </c>
      <c r="W155" s="4">
        <v>-397666380</v>
      </c>
      <c r="X155" s="4">
        <v>-35431248</v>
      </c>
      <c r="Y155" s="4">
        <v>-35150840</v>
      </c>
      <c r="Z155" s="4">
        <v>-215751581</v>
      </c>
    </row>
    <row r="156" spans="1:26" s="1" customFormat="1" ht="12.5" x14ac:dyDescent="0.25">
      <c r="A156" s="1" t="s">
        <v>118</v>
      </c>
      <c r="B156" s="4">
        <v>931783073</v>
      </c>
      <c r="C156" s="4">
        <v>1204276062</v>
      </c>
      <c r="D156" s="4">
        <v>1594473471</v>
      </c>
      <c r="E156" s="4">
        <v>2207583002</v>
      </c>
      <c r="F156" s="4">
        <v>3457122544</v>
      </c>
      <c r="G156" s="4">
        <v>4045730021</v>
      </c>
      <c r="H156" s="4">
        <v>5027334251</v>
      </c>
      <c r="I156" s="4">
        <v>5282527782</v>
      </c>
      <c r="J156" s="4">
        <v>5743620605</v>
      </c>
      <c r="K156" s="4">
        <v>6137039228</v>
      </c>
      <c r="L156" s="4">
        <v>7266247133</v>
      </c>
      <c r="M156" s="6">
        <f>Table2[[#This Row],[2025]]/SUM(Table2[2025])</f>
        <v>4.5748254299692498E-4</v>
      </c>
      <c r="N156" s="4"/>
      <c r="O156" s="1" t="s">
        <v>147</v>
      </c>
      <c r="P156" s="4">
        <v>825383880</v>
      </c>
      <c r="Q156" s="4">
        <v>572092483</v>
      </c>
      <c r="R156" s="4">
        <v>221803388</v>
      </c>
      <c r="S156" s="4">
        <v>688592630</v>
      </c>
      <c r="T156" s="4">
        <v>1415796640</v>
      </c>
      <c r="U156" s="4">
        <v>1066755337</v>
      </c>
      <c r="V156" s="4">
        <v>2877878606</v>
      </c>
      <c r="W156" s="4">
        <v>1223323140</v>
      </c>
      <c r="X156" s="4">
        <v>1047413299</v>
      </c>
      <c r="Y156" s="4">
        <v>1558688022</v>
      </c>
      <c r="Z156" s="4">
        <v>2251587405</v>
      </c>
    </row>
    <row r="157" spans="1:26" s="1" customFormat="1" ht="12.5" x14ac:dyDescent="0.25">
      <c r="A157" s="1" t="s">
        <v>369</v>
      </c>
      <c r="B157" s="1" t="s">
        <v>21</v>
      </c>
      <c r="C157" s="1" t="s">
        <v>21</v>
      </c>
      <c r="D157" s="1" t="s">
        <v>21</v>
      </c>
      <c r="E157" s="1" t="s">
        <v>21</v>
      </c>
      <c r="F157" s="4">
        <v>3463485745</v>
      </c>
      <c r="G157" s="4">
        <v>3962786086</v>
      </c>
      <c r="H157" s="4">
        <v>5236021315</v>
      </c>
      <c r="I157" s="4">
        <v>4747222381</v>
      </c>
      <c r="J157" s="4">
        <v>5166792465</v>
      </c>
      <c r="K157" s="4">
        <v>7827735503</v>
      </c>
      <c r="L157" s="4">
        <v>6985140334</v>
      </c>
      <c r="M157" s="6">
        <f>Table2[[#This Row],[2025]]/SUM(Table2[2025])</f>
        <v>4.3978407349728522E-4</v>
      </c>
      <c r="N157" s="4"/>
      <c r="O157" s="1" t="s">
        <v>148</v>
      </c>
      <c r="P157" s="4">
        <v>140600494</v>
      </c>
      <c r="Q157" s="4">
        <v>327698860</v>
      </c>
      <c r="R157" s="4">
        <v>57625039</v>
      </c>
      <c r="S157" s="4">
        <v>112994235</v>
      </c>
      <c r="T157" s="4">
        <v>63284660</v>
      </c>
      <c r="U157" s="4">
        <v>207118451</v>
      </c>
      <c r="V157" s="4">
        <v>593637519</v>
      </c>
      <c r="W157" s="4">
        <v>123635760</v>
      </c>
      <c r="X157" s="4">
        <v>666241471</v>
      </c>
      <c r="Y157" s="4">
        <v>423171680</v>
      </c>
      <c r="Z157" s="4">
        <v>492769312</v>
      </c>
    </row>
    <row r="158" spans="1:26" s="1" customFormat="1" ht="12.5" x14ac:dyDescent="0.25">
      <c r="A158" s="1" t="s">
        <v>164</v>
      </c>
      <c r="B158" s="4">
        <v>2268455985</v>
      </c>
      <c r="C158" s="4">
        <v>2261279105</v>
      </c>
      <c r="D158" s="4">
        <v>2660314014</v>
      </c>
      <c r="E158" s="4">
        <v>2441846432</v>
      </c>
      <c r="F158" s="4">
        <v>3107653808</v>
      </c>
      <c r="G158" s="4">
        <v>3666833859</v>
      </c>
      <c r="H158" s="4">
        <v>4439984408</v>
      </c>
      <c r="I158" s="4">
        <v>4543345895</v>
      </c>
      <c r="J158" s="4">
        <v>4920705049</v>
      </c>
      <c r="K158" s="4">
        <v>5385310156</v>
      </c>
      <c r="L158" s="4">
        <v>6945006653</v>
      </c>
      <c r="M158" s="6">
        <f>Table2[[#This Row],[2025]]/SUM(Table2[2025])</f>
        <v>4.3725725902103068E-4</v>
      </c>
      <c r="N158" s="4"/>
      <c r="O158" s="1" t="s">
        <v>149</v>
      </c>
      <c r="P158" s="4">
        <v>506309935</v>
      </c>
      <c r="Q158" s="4">
        <v>-131948910</v>
      </c>
      <c r="R158" s="4">
        <v>-26312239</v>
      </c>
      <c r="S158" s="4">
        <v>862945555</v>
      </c>
      <c r="T158" s="4">
        <v>2073598303</v>
      </c>
      <c r="U158" s="4">
        <v>2229571444</v>
      </c>
      <c r="V158" s="4">
        <v>2428851356</v>
      </c>
      <c r="W158" s="4">
        <v>1622601148</v>
      </c>
      <c r="X158" s="4">
        <v>11686139</v>
      </c>
      <c r="Y158" s="4">
        <v>2623464637</v>
      </c>
      <c r="Z158" s="4">
        <v>3504588593</v>
      </c>
    </row>
    <row r="159" spans="1:26" s="1" customFormat="1" ht="12.5" x14ac:dyDescent="0.25">
      <c r="A159" s="1" t="s">
        <v>197</v>
      </c>
      <c r="B159" s="4">
        <v>4553816077</v>
      </c>
      <c r="C159" s="4">
        <v>4573404553</v>
      </c>
      <c r="D159" s="4">
        <v>4813871827</v>
      </c>
      <c r="E159" s="4">
        <v>4488795144</v>
      </c>
      <c r="F159" s="4">
        <v>4026289416</v>
      </c>
      <c r="G159" s="4">
        <v>3337938440</v>
      </c>
      <c r="H159" s="4">
        <v>4354251902</v>
      </c>
      <c r="I159" s="4">
        <v>3958021467</v>
      </c>
      <c r="J159" s="4">
        <v>4616955091</v>
      </c>
      <c r="K159" s="4">
        <v>5649426836</v>
      </c>
      <c r="L159" s="4">
        <v>6857551563</v>
      </c>
      <c r="M159" s="6">
        <f>Table2[[#This Row],[2025]]/SUM(Table2[2025])</f>
        <v>4.3175109108606997E-4</v>
      </c>
      <c r="N159" s="4"/>
      <c r="O159" s="1" t="s">
        <v>150</v>
      </c>
      <c r="P159" s="4">
        <v>380579791</v>
      </c>
      <c r="Q159" s="4">
        <v>-71239601</v>
      </c>
      <c r="R159" s="4">
        <v>-213930885</v>
      </c>
      <c r="S159" s="4">
        <v>-13098843</v>
      </c>
      <c r="T159" s="4">
        <v>-206351225</v>
      </c>
      <c r="U159" s="4">
        <v>-4912428</v>
      </c>
      <c r="V159" s="4">
        <v>374338340</v>
      </c>
      <c r="W159" s="4">
        <v>-232919561</v>
      </c>
      <c r="X159" s="4">
        <v>-68043650</v>
      </c>
      <c r="Y159" s="4">
        <v>126374464</v>
      </c>
      <c r="Z159" s="4">
        <v>140392828</v>
      </c>
    </row>
    <row r="160" spans="1:26" s="1" customFormat="1" ht="12.5" x14ac:dyDescent="0.25">
      <c r="A160" s="1" t="s">
        <v>41</v>
      </c>
      <c r="B160" s="4">
        <v>94169318</v>
      </c>
      <c r="C160" s="4">
        <v>71564080</v>
      </c>
      <c r="D160" s="4">
        <v>55371729</v>
      </c>
      <c r="E160" s="4">
        <v>44348320</v>
      </c>
      <c r="F160" s="4">
        <v>3522167701</v>
      </c>
      <c r="G160" s="4">
        <v>4289465681</v>
      </c>
      <c r="H160" s="4">
        <v>5018980640</v>
      </c>
      <c r="I160" s="4">
        <v>5330982263</v>
      </c>
      <c r="J160" s="4">
        <v>6078138746</v>
      </c>
      <c r="K160" s="4">
        <v>5939090494</v>
      </c>
      <c r="L160" s="4">
        <v>6838530842</v>
      </c>
      <c r="M160" s="6">
        <f>Table2[[#This Row],[2025]]/SUM(Table2[2025])</f>
        <v>4.3055354747745857E-4</v>
      </c>
      <c r="N160" s="4"/>
      <c r="O160" s="1" t="s">
        <v>151</v>
      </c>
      <c r="P160" s="4">
        <v>70501388</v>
      </c>
      <c r="Q160" s="4">
        <v>89404121</v>
      </c>
      <c r="R160" s="4">
        <v>61887844</v>
      </c>
      <c r="S160" s="4">
        <v>-3862734</v>
      </c>
      <c r="T160" s="4">
        <v>-274422456</v>
      </c>
      <c r="U160" s="4">
        <v>-96843714</v>
      </c>
      <c r="V160" s="4">
        <v>16976106</v>
      </c>
      <c r="W160" s="4">
        <v>-94548188</v>
      </c>
      <c r="X160" s="4">
        <v>-113848276</v>
      </c>
      <c r="Y160" s="4">
        <v>-261572096</v>
      </c>
      <c r="Z160" s="4">
        <v>10102718</v>
      </c>
    </row>
    <row r="161" spans="1:26" s="1" customFormat="1" ht="12.5" x14ac:dyDescent="0.25">
      <c r="A161" s="1" t="s">
        <v>219</v>
      </c>
      <c r="B161" s="4">
        <v>8674574756</v>
      </c>
      <c r="C161" s="4">
        <v>8598075339</v>
      </c>
      <c r="D161" s="4">
        <v>10137380998</v>
      </c>
      <c r="E161" s="4">
        <v>10643573902</v>
      </c>
      <c r="F161" s="4">
        <v>11957464272</v>
      </c>
      <c r="G161" s="4">
        <v>14158713372</v>
      </c>
      <c r="H161" s="4">
        <v>13936639511</v>
      </c>
      <c r="I161" s="4">
        <v>10507868525</v>
      </c>
      <c r="J161" s="4">
        <v>10494199495</v>
      </c>
      <c r="K161" s="4">
        <v>8545257276</v>
      </c>
      <c r="L161" s="4">
        <v>6819115530</v>
      </c>
      <c r="M161" s="6">
        <f>Table2[[#This Row],[2025]]/SUM(Table2[2025])</f>
        <v>4.2933116043993269E-4</v>
      </c>
      <c r="N161" s="4"/>
      <c r="O161" s="1" t="s">
        <v>152</v>
      </c>
      <c r="P161" s="4">
        <v>-1828034678</v>
      </c>
      <c r="Q161" s="4">
        <v>896586346</v>
      </c>
      <c r="R161" s="4">
        <v>-120230444</v>
      </c>
      <c r="S161" s="4">
        <v>-33206896</v>
      </c>
      <c r="T161" s="4">
        <v>-180929547</v>
      </c>
      <c r="U161" s="4">
        <v>-18334823</v>
      </c>
      <c r="V161" s="4">
        <v>-562715441</v>
      </c>
      <c r="W161" s="4">
        <v>1253499867</v>
      </c>
      <c r="X161" s="4">
        <v>3699506157</v>
      </c>
      <c r="Y161" s="4">
        <v>-2108871693</v>
      </c>
      <c r="Z161" s="4">
        <v>178270</v>
      </c>
    </row>
    <row r="162" spans="1:26" s="1" customFormat="1" ht="12.5" x14ac:dyDescent="0.25">
      <c r="A162" s="1" t="s">
        <v>216</v>
      </c>
      <c r="B162" s="4">
        <v>7773797309</v>
      </c>
      <c r="C162" s="4">
        <v>6376154750</v>
      </c>
      <c r="D162" s="4">
        <v>7246647748</v>
      </c>
      <c r="E162" s="4">
        <v>7119346772</v>
      </c>
      <c r="F162" s="4">
        <v>7871913935</v>
      </c>
      <c r="G162" s="4">
        <v>5366121684</v>
      </c>
      <c r="H162" s="4">
        <v>6514326322</v>
      </c>
      <c r="I162" s="4">
        <v>5204262850</v>
      </c>
      <c r="J162" s="4">
        <v>5999035880</v>
      </c>
      <c r="K162" s="4">
        <v>6350829261</v>
      </c>
      <c r="L162" s="4">
        <v>6294054060</v>
      </c>
      <c r="M162" s="6">
        <f>Table2[[#This Row],[2025]]/SUM(Table2[2025])</f>
        <v>3.9627331749451526E-4</v>
      </c>
      <c r="N162" s="4"/>
      <c r="O162" s="1" t="s">
        <v>153</v>
      </c>
      <c r="P162" s="4">
        <v>-397820790</v>
      </c>
      <c r="Q162" s="4">
        <v>-215604752</v>
      </c>
      <c r="R162" s="4">
        <v>-247006113</v>
      </c>
      <c r="S162" s="4">
        <v>-243215291</v>
      </c>
      <c r="T162" s="4">
        <v>-121172627</v>
      </c>
      <c r="U162" s="4">
        <v>-11505802</v>
      </c>
      <c r="V162" s="4">
        <v>37577166</v>
      </c>
      <c r="W162" s="4">
        <v>-78540174</v>
      </c>
      <c r="X162" s="4">
        <v>26235108</v>
      </c>
      <c r="Y162" s="4">
        <v>-14157944</v>
      </c>
      <c r="Z162" s="4">
        <v>-60208814</v>
      </c>
    </row>
    <row r="163" spans="1:26" s="1" customFormat="1" ht="12.5" x14ac:dyDescent="0.25">
      <c r="A163" s="1" t="s">
        <v>186</v>
      </c>
      <c r="B163" s="4">
        <v>3409459399</v>
      </c>
      <c r="C163" s="4">
        <v>820345717</v>
      </c>
      <c r="D163" s="4">
        <v>1026009645</v>
      </c>
      <c r="E163" s="4">
        <v>1441126411</v>
      </c>
      <c r="F163" s="4">
        <v>2018102117</v>
      </c>
      <c r="G163" s="4">
        <v>1370837110</v>
      </c>
      <c r="H163" s="4">
        <v>1937394229</v>
      </c>
      <c r="I163" s="4">
        <v>1337350565</v>
      </c>
      <c r="J163" s="4">
        <v>1867129883</v>
      </c>
      <c r="K163" s="4">
        <v>5684943745</v>
      </c>
      <c r="L163" s="4">
        <v>6242721483</v>
      </c>
      <c r="M163" s="7">
        <f>Table2[[#This Row],[2025]]/SUM(Table2[2025])</f>
        <v>3.930414211063656E-4</v>
      </c>
      <c r="O163" s="1" t="s">
        <v>154</v>
      </c>
      <c r="P163" s="4">
        <v>256123633</v>
      </c>
      <c r="Q163" s="4">
        <v>234853956</v>
      </c>
      <c r="R163" s="4">
        <v>338444102</v>
      </c>
      <c r="S163" s="4">
        <v>1754419203</v>
      </c>
      <c r="T163" s="4">
        <v>2561840849</v>
      </c>
      <c r="U163" s="4">
        <v>3131774098</v>
      </c>
      <c r="V163" s="4">
        <v>5362601154</v>
      </c>
      <c r="W163" s="4">
        <v>315948254</v>
      </c>
      <c r="X163" s="4">
        <v>-264943965</v>
      </c>
      <c r="Y163" s="4">
        <v>39082302</v>
      </c>
      <c r="Z163" s="4">
        <v>-17864650</v>
      </c>
    </row>
    <row r="164" spans="1:26" s="1" customFormat="1" ht="12.5" x14ac:dyDescent="0.25">
      <c r="A164" s="1" t="s">
        <v>152</v>
      </c>
      <c r="B164" s="4">
        <v>1714422173</v>
      </c>
      <c r="C164" s="4">
        <v>2631917460</v>
      </c>
      <c r="D164" s="4">
        <v>2717881481</v>
      </c>
      <c r="E164" s="4">
        <v>2577084828</v>
      </c>
      <c r="F164" s="4">
        <v>2607337191</v>
      </c>
      <c r="G164" s="4">
        <v>2665970332</v>
      </c>
      <c r="H164" s="4">
        <v>2462521004</v>
      </c>
      <c r="I164" s="4">
        <v>3717516693</v>
      </c>
      <c r="J164" s="4">
        <v>7797368048</v>
      </c>
      <c r="K164" s="4">
        <v>6050025652</v>
      </c>
      <c r="L164" s="4">
        <v>6181109959</v>
      </c>
      <c r="M164" s="6">
        <f>Table2[[#This Row],[2025]]/SUM(Table2[2025])</f>
        <v>3.8916236274769416E-4</v>
      </c>
      <c r="N164" s="4"/>
      <c r="O164" s="1" t="s">
        <v>155</v>
      </c>
      <c r="P164" s="4">
        <v>797561890</v>
      </c>
      <c r="Q164" s="4">
        <v>689182453</v>
      </c>
      <c r="R164" s="4">
        <v>1485818909</v>
      </c>
      <c r="S164" s="4">
        <v>1615139837</v>
      </c>
      <c r="T164" s="4">
        <v>-108727583</v>
      </c>
      <c r="U164" s="4">
        <v>646262480</v>
      </c>
      <c r="V164" s="4">
        <v>187155198</v>
      </c>
      <c r="W164" s="4">
        <v>208505710</v>
      </c>
      <c r="X164" s="4">
        <v>51300384</v>
      </c>
      <c r="Y164" s="4">
        <v>963050324</v>
      </c>
      <c r="Z164" s="4">
        <v>837041427</v>
      </c>
    </row>
    <row r="165" spans="1:26" s="1" customFormat="1" ht="12.5" x14ac:dyDescent="0.25">
      <c r="A165" s="1" t="s">
        <v>175</v>
      </c>
      <c r="B165" s="4">
        <v>2539151612</v>
      </c>
      <c r="C165" s="4">
        <v>2401264978</v>
      </c>
      <c r="D165" s="4">
        <v>3483496154</v>
      </c>
      <c r="E165" s="4">
        <v>3194085466</v>
      </c>
      <c r="F165" s="4">
        <v>4064245710</v>
      </c>
      <c r="G165" s="4">
        <v>4159385167</v>
      </c>
      <c r="H165" s="4">
        <v>4810622099</v>
      </c>
      <c r="I165" s="4">
        <v>4673585941</v>
      </c>
      <c r="J165" s="4">
        <v>4883046191</v>
      </c>
      <c r="K165" s="4">
        <v>5666187137</v>
      </c>
      <c r="L165" s="4">
        <v>6140879968</v>
      </c>
      <c r="M165" s="6">
        <f>Table2[[#This Row],[2025]]/SUM(Table2[2025])</f>
        <v>3.8662948459882991E-4</v>
      </c>
      <c r="N165" s="4"/>
      <c r="O165" s="1" t="s">
        <v>156</v>
      </c>
      <c r="P165" s="4">
        <v>883064924</v>
      </c>
      <c r="Q165" s="4">
        <v>804712840</v>
      </c>
      <c r="R165" s="4">
        <v>1047494596</v>
      </c>
      <c r="S165" s="4">
        <v>819847718</v>
      </c>
      <c r="T165" s="4">
        <v>3457272548</v>
      </c>
      <c r="U165" s="4">
        <v>4810404470</v>
      </c>
      <c r="V165" s="4">
        <v>3815827544</v>
      </c>
      <c r="W165" s="4">
        <v>2495774539</v>
      </c>
      <c r="X165" s="4">
        <v>-5241634148</v>
      </c>
      <c r="Y165" s="4">
        <v>-1035911830</v>
      </c>
      <c r="Z165" s="4">
        <v>1536566432</v>
      </c>
    </row>
    <row r="166" spans="1:26" s="1" customFormat="1" ht="12.5" x14ac:dyDescent="0.25">
      <c r="A166" s="1" t="s">
        <v>260</v>
      </c>
      <c r="B166" s="4">
        <v>61881278101</v>
      </c>
      <c r="C166" s="4">
        <v>46680985250</v>
      </c>
      <c r="D166" s="4">
        <v>34686915711</v>
      </c>
      <c r="E166" s="4">
        <v>19891823766</v>
      </c>
      <c r="F166" s="4">
        <v>16262148785</v>
      </c>
      <c r="G166" s="4">
        <v>15651280548</v>
      </c>
      <c r="H166" s="4">
        <v>15262832661</v>
      </c>
      <c r="I166" s="4">
        <v>7682929600</v>
      </c>
      <c r="J166" s="4">
        <v>8030260351</v>
      </c>
      <c r="K166" s="4">
        <v>7462419868</v>
      </c>
      <c r="L166" s="4">
        <v>6112429237</v>
      </c>
      <c r="M166" s="6">
        <f>Table2[[#This Row],[2025]]/SUM(Table2[2025])</f>
        <v>3.8483822804922949E-4</v>
      </c>
      <c r="N166" s="4"/>
      <c r="O166" s="1" t="s">
        <v>157</v>
      </c>
      <c r="P166" s="4">
        <v>59144974</v>
      </c>
      <c r="Q166" s="4">
        <v>-446960617</v>
      </c>
      <c r="R166" s="4">
        <v>323867297</v>
      </c>
      <c r="S166" s="4">
        <v>11556112</v>
      </c>
      <c r="T166" s="4">
        <v>-236853832</v>
      </c>
      <c r="U166" s="4">
        <v>-290493276</v>
      </c>
      <c r="V166" s="4">
        <v>5743630808</v>
      </c>
      <c r="W166" s="4">
        <v>1300383097</v>
      </c>
      <c r="X166" s="4">
        <v>1382317115</v>
      </c>
      <c r="Y166" s="4">
        <v>3842871959</v>
      </c>
      <c r="Z166" s="4">
        <v>1244965845</v>
      </c>
    </row>
    <row r="167" spans="1:26" s="1" customFormat="1" ht="12.5" x14ac:dyDescent="0.25">
      <c r="A167" s="1" t="s">
        <v>375</v>
      </c>
      <c r="B167" s="1" t="s">
        <v>21</v>
      </c>
      <c r="C167" s="1" t="s">
        <v>21</v>
      </c>
      <c r="D167" s="1" t="s">
        <v>21</v>
      </c>
      <c r="E167" s="1" t="s">
        <v>21</v>
      </c>
      <c r="F167" s="4">
        <v>1152081642</v>
      </c>
      <c r="G167" s="4">
        <v>3547473576</v>
      </c>
      <c r="H167" s="4">
        <v>4687935218</v>
      </c>
      <c r="I167" s="4">
        <v>4097015745</v>
      </c>
      <c r="J167" s="4">
        <v>4636920141</v>
      </c>
      <c r="K167" s="4">
        <v>5523682555</v>
      </c>
      <c r="L167" s="4">
        <v>6076628259</v>
      </c>
      <c r="M167" s="6">
        <f>Table2[[#This Row],[2025]]/SUM(Table2[2025])</f>
        <v>3.8258420032935824E-4</v>
      </c>
      <c r="N167" s="4"/>
      <c r="O167" s="1" t="s">
        <v>158</v>
      </c>
      <c r="P167" s="4">
        <v>309059559</v>
      </c>
      <c r="Q167" s="4">
        <v>27093170</v>
      </c>
      <c r="R167" s="4">
        <v>-670487519</v>
      </c>
      <c r="S167" s="4">
        <v>79304195</v>
      </c>
      <c r="T167" s="4">
        <v>408449233</v>
      </c>
      <c r="U167" s="4">
        <v>-519501793</v>
      </c>
      <c r="V167" s="4">
        <v>-129486522</v>
      </c>
      <c r="W167" s="4">
        <v>-883624327</v>
      </c>
      <c r="X167" s="4">
        <v>1881732106</v>
      </c>
      <c r="Y167" s="4">
        <v>4758280057</v>
      </c>
      <c r="Z167" s="4">
        <v>25023923411</v>
      </c>
    </row>
    <row r="168" spans="1:26" s="1" customFormat="1" ht="12.5" x14ac:dyDescent="0.25">
      <c r="A168" s="1" t="s">
        <v>226</v>
      </c>
      <c r="B168" s="4">
        <v>10129408350</v>
      </c>
      <c r="C168" s="4">
        <v>8585165000</v>
      </c>
      <c r="D168" s="4">
        <v>7984502169</v>
      </c>
      <c r="E168" s="4">
        <v>6697407297</v>
      </c>
      <c r="F168" s="4">
        <v>6789048484</v>
      </c>
      <c r="G168" s="4">
        <v>6398928127</v>
      </c>
      <c r="H168" s="4">
        <v>6477868436</v>
      </c>
      <c r="I168" s="4">
        <v>6461282463</v>
      </c>
      <c r="J168" s="4">
        <v>6387147167</v>
      </c>
      <c r="K168" s="4">
        <v>5692311745</v>
      </c>
      <c r="L168" s="4">
        <v>6061523895</v>
      </c>
      <c r="M168" s="6">
        <f>Table2[[#This Row],[2025]]/SUM(Table2[2025])</f>
        <v>3.8163323035454288E-4</v>
      </c>
      <c r="N168" s="4"/>
      <c r="O168" s="1" t="s">
        <v>159</v>
      </c>
      <c r="P168" s="4">
        <v>-40236409</v>
      </c>
      <c r="Q168" s="4">
        <v>-779682035</v>
      </c>
      <c r="R168" s="4">
        <v>-212085950</v>
      </c>
      <c r="S168" s="4">
        <v>88491390</v>
      </c>
      <c r="T168" s="4">
        <v>-121676716</v>
      </c>
      <c r="U168" s="4">
        <v>-71604103</v>
      </c>
      <c r="V168" s="4">
        <v>-40994509</v>
      </c>
      <c r="W168" s="4">
        <v>-257606166</v>
      </c>
      <c r="X168" s="4">
        <v>-80951428</v>
      </c>
      <c r="Y168" s="4">
        <v>-37768054</v>
      </c>
      <c r="Z168" s="4">
        <v>-256424363</v>
      </c>
    </row>
    <row r="169" spans="1:26" s="1" customFormat="1" ht="12.5" x14ac:dyDescent="0.25">
      <c r="A169" s="1" t="s">
        <v>169</v>
      </c>
      <c r="B169" s="4">
        <v>2358622143</v>
      </c>
      <c r="C169" s="4">
        <v>1717877248</v>
      </c>
      <c r="D169" s="4">
        <v>2199135032</v>
      </c>
      <c r="E169" s="4">
        <v>2522158376</v>
      </c>
      <c r="F169" s="4">
        <v>2893777554</v>
      </c>
      <c r="G169" s="4">
        <v>2863665159</v>
      </c>
      <c r="H169" s="4">
        <v>3147712386</v>
      </c>
      <c r="I169" s="4">
        <v>3563927176</v>
      </c>
      <c r="J169" s="4">
        <v>4431071861</v>
      </c>
      <c r="K169" s="4">
        <v>4983750532</v>
      </c>
      <c r="L169" s="4">
        <v>6001384782</v>
      </c>
      <c r="M169" s="6">
        <f>Table2[[#This Row],[2025]]/SUM(Table2[2025])</f>
        <v>3.7784687491613925E-4</v>
      </c>
      <c r="N169" s="4"/>
      <c r="O169" s="1" t="s">
        <v>160</v>
      </c>
      <c r="P169" s="4">
        <v>-913235863</v>
      </c>
      <c r="Q169" s="4">
        <v>-207948960</v>
      </c>
      <c r="R169" s="4">
        <v>396493245</v>
      </c>
      <c r="S169" s="4">
        <v>568879023</v>
      </c>
      <c r="T169" s="4">
        <v>2894450902</v>
      </c>
      <c r="U169" s="4">
        <v>887428401</v>
      </c>
      <c r="V169" s="4">
        <v>3181781234</v>
      </c>
      <c r="W169" s="4">
        <v>4148599938</v>
      </c>
      <c r="X169" s="4">
        <v>637613501</v>
      </c>
      <c r="Y169" s="4">
        <v>1583473098</v>
      </c>
      <c r="Z169" s="4">
        <v>2696715293</v>
      </c>
    </row>
    <row r="170" spans="1:26" s="1" customFormat="1" ht="12.5" x14ac:dyDescent="0.25">
      <c r="A170" s="1" t="s">
        <v>188</v>
      </c>
      <c r="B170" s="4">
        <v>3475049724</v>
      </c>
      <c r="C170" s="4">
        <v>3122661639</v>
      </c>
      <c r="D170" s="4">
        <v>2908767434</v>
      </c>
      <c r="E170" s="4">
        <v>2302705500</v>
      </c>
      <c r="F170" s="4">
        <v>2330360753</v>
      </c>
      <c r="G170" s="4">
        <v>2085400315</v>
      </c>
      <c r="H170" s="4">
        <v>2579509811</v>
      </c>
      <c r="I170" s="4">
        <v>2931455327</v>
      </c>
      <c r="J170" s="4">
        <v>3501989787</v>
      </c>
      <c r="K170" s="4">
        <v>4543767714</v>
      </c>
      <c r="L170" s="4">
        <v>5964326049</v>
      </c>
      <c r="M170" s="6">
        <f>Table2[[#This Row],[2025]]/SUM(Table2[2025])</f>
        <v>3.755136590066379E-4</v>
      </c>
      <c r="N170" s="4"/>
      <c r="O170" s="1" t="s">
        <v>161</v>
      </c>
      <c r="P170" s="4">
        <v>-132888908</v>
      </c>
      <c r="Q170" s="4">
        <v>188075751</v>
      </c>
      <c r="R170" s="4">
        <v>-36095657</v>
      </c>
      <c r="S170" s="4">
        <v>-64006601</v>
      </c>
      <c r="T170" s="4">
        <v>15949163</v>
      </c>
      <c r="U170" s="4">
        <v>67028960</v>
      </c>
      <c r="V170" s="4">
        <v>427146021</v>
      </c>
      <c r="W170" s="4">
        <v>-308707796</v>
      </c>
      <c r="X170" s="4">
        <v>560021927</v>
      </c>
      <c r="Y170" s="4">
        <v>-1013781867</v>
      </c>
      <c r="Z170" s="4">
        <v>-199708719</v>
      </c>
    </row>
    <row r="171" spans="1:26" s="1" customFormat="1" ht="12.5" x14ac:dyDescent="0.25">
      <c r="A171" s="1" t="s">
        <v>146</v>
      </c>
      <c r="B171" s="4">
        <v>1606126491</v>
      </c>
      <c r="C171" s="4">
        <v>1535863537</v>
      </c>
      <c r="D171" s="4">
        <v>1903750289</v>
      </c>
      <c r="E171" s="4">
        <v>2440370026</v>
      </c>
      <c r="F171" s="4">
        <v>3399834047</v>
      </c>
      <c r="G171" s="4">
        <v>3571512968</v>
      </c>
      <c r="H171" s="4">
        <v>4836990921</v>
      </c>
      <c r="I171" s="4">
        <v>3872657383</v>
      </c>
      <c r="J171" s="4">
        <v>4961577739</v>
      </c>
      <c r="K171" s="4">
        <v>5893401565</v>
      </c>
      <c r="L171" s="4">
        <v>5807389552</v>
      </c>
      <c r="M171" s="6">
        <f>Table2[[#This Row],[2025]]/SUM(Table2[2025])</f>
        <v>3.6563294528709953E-4</v>
      </c>
      <c r="N171" s="4"/>
      <c r="O171" s="1" t="s">
        <v>162</v>
      </c>
      <c r="P171" s="4">
        <v>370476321</v>
      </c>
      <c r="Q171" s="4">
        <v>-356007379</v>
      </c>
      <c r="R171" s="4">
        <v>238101645</v>
      </c>
      <c r="S171" s="4">
        <v>-125432283</v>
      </c>
      <c r="T171" s="4">
        <v>2766368756</v>
      </c>
      <c r="U171" s="4">
        <v>2301234641</v>
      </c>
      <c r="V171" s="4">
        <v>6609477484</v>
      </c>
      <c r="W171" s="4">
        <v>3907559597</v>
      </c>
      <c r="X171" s="4">
        <v>978111471</v>
      </c>
      <c r="Y171" s="4">
        <v>3186237122</v>
      </c>
      <c r="Z171" s="4">
        <v>12780694824</v>
      </c>
    </row>
    <row r="172" spans="1:26" s="1" customFormat="1" ht="12.5" x14ac:dyDescent="0.25">
      <c r="A172" s="1" t="s">
        <v>114</v>
      </c>
      <c r="B172" s="4">
        <v>844120998</v>
      </c>
      <c r="C172" s="4">
        <v>765806958</v>
      </c>
      <c r="D172" s="4">
        <v>818658059</v>
      </c>
      <c r="E172" s="4">
        <v>1519369336</v>
      </c>
      <c r="F172" s="4">
        <v>1804960551</v>
      </c>
      <c r="G172" s="4">
        <v>3054154032</v>
      </c>
      <c r="H172" s="4">
        <v>3738892766</v>
      </c>
      <c r="I172" s="4">
        <v>3351884345</v>
      </c>
      <c r="J172" s="4">
        <v>3941238597</v>
      </c>
      <c r="K172" s="4">
        <v>4445607974</v>
      </c>
      <c r="L172" s="4">
        <v>5801316211</v>
      </c>
      <c r="M172" s="6">
        <f>Table2[[#This Row],[2025]]/SUM(Table2[2025])</f>
        <v>3.6525056805242651E-4</v>
      </c>
      <c r="N172" s="4"/>
      <c r="O172" s="1" t="s">
        <v>163</v>
      </c>
      <c r="P172" s="4">
        <v>520340971</v>
      </c>
      <c r="Q172" s="4">
        <v>-86475805</v>
      </c>
      <c r="R172" s="4">
        <v>-360013625</v>
      </c>
      <c r="S172" s="4">
        <v>126937193</v>
      </c>
      <c r="T172" s="4">
        <v>111000009</v>
      </c>
      <c r="U172" s="4">
        <v>194309628</v>
      </c>
      <c r="V172" s="4">
        <v>325937703</v>
      </c>
      <c r="W172" s="4">
        <v>639293681</v>
      </c>
      <c r="X172" s="4">
        <v>-129441655</v>
      </c>
      <c r="Y172" s="4">
        <v>-62555128</v>
      </c>
      <c r="Z172" s="4">
        <v>-124249056</v>
      </c>
    </row>
    <row r="173" spans="1:26" s="1" customFormat="1" ht="12.5" x14ac:dyDescent="0.25">
      <c r="A173" s="1" t="s">
        <v>90</v>
      </c>
      <c r="B173" s="4">
        <v>557477106</v>
      </c>
      <c r="C173" s="4">
        <v>1210474375</v>
      </c>
      <c r="D173" s="4">
        <v>1843029511</v>
      </c>
      <c r="E173" s="4">
        <v>2206156190</v>
      </c>
      <c r="F173" s="4">
        <v>2601489741</v>
      </c>
      <c r="G173" s="4">
        <v>2686421770</v>
      </c>
      <c r="H173" s="4">
        <v>3906074264</v>
      </c>
      <c r="I173" s="4">
        <v>3965836429</v>
      </c>
      <c r="J173" s="4">
        <v>4013575937</v>
      </c>
      <c r="K173" s="4">
        <v>4101809835</v>
      </c>
      <c r="L173" s="4">
        <v>5767495959</v>
      </c>
      <c r="M173" s="6">
        <f>Table2[[#This Row],[2025]]/SUM(Table2[2025])</f>
        <v>3.6312124673888502E-4</v>
      </c>
      <c r="N173" s="4"/>
      <c r="O173" s="1" t="s">
        <v>164</v>
      </c>
      <c r="P173" s="4">
        <v>-18403453</v>
      </c>
      <c r="Q173" s="4">
        <v>-40146078</v>
      </c>
      <c r="R173" s="4">
        <v>1148926806</v>
      </c>
      <c r="S173" s="4">
        <v>-75519401</v>
      </c>
      <c r="T173" s="4">
        <v>388938946</v>
      </c>
      <c r="U173" s="4">
        <v>227406011</v>
      </c>
      <c r="V173" s="4">
        <v>14501449</v>
      </c>
      <c r="W173" s="4">
        <v>97637389</v>
      </c>
      <c r="X173" s="4">
        <v>-84687260</v>
      </c>
      <c r="Y173" s="4">
        <v>-26893661</v>
      </c>
      <c r="Z173" s="4">
        <v>552339375</v>
      </c>
    </row>
    <row r="174" spans="1:26" s="1" customFormat="1" ht="12.5" x14ac:dyDescent="0.25">
      <c r="A174" s="1" t="s">
        <v>103</v>
      </c>
      <c r="B174" s="4">
        <v>695644374</v>
      </c>
      <c r="C174" s="4">
        <v>891520795</v>
      </c>
      <c r="D174" s="4">
        <v>918146799</v>
      </c>
      <c r="E174" s="4">
        <v>859314784</v>
      </c>
      <c r="F174" s="4">
        <v>1381384361</v>
      </c>
      <c r="G174" s="4">
        <v>4892685823</v>
      </c>
      <c r="H174" s="4">
        <v>7797382304</v>
      </c>
      <c r="I174" s="4">
        <v>7315548436</v>
      </c>
      <c r="J174" s="4">
        <v>8552504216</v>
      </c>
      <c r="K174" s="4">
        <v>9088858827</v>
      </c>
      <c r="L174" s="4">
        <v>5747286464</v>
      </c>
      <c r="M174" s="6">
        <f>Table2[[#This Row],[2025]]/SUM(Table2[2025])</f>
        <v>3.618488579808293E-4</v>
      </c>
      <c r="N174" s="4"/>
      <c r="O174" s="1" t="s">
        <v>165</v>
      </c>
      <c r="P174" s="4">
        <v>2289767997</v>
      </c>
      <c r="Q174" s="4">
        <v>211085275</v>
      </c>
      <c r="R174" s="4">
        <v>122480148</v>
      </c>
      <c r="S174" s="4">
        <v>184463770</v>
      </c>
      <c r="T174" s="4">
        <v>-12699904</v>
      </c>
      <c r="U174" s="4">
        <v>-159041731</v>
      </c>
      <c r="V174" s="4">
        <v>-80931059</v>
      </c>
      <c r="W174" s="4">
        <v>-51723476</v>
      </c>
      <c r="X174" s="4">
        <v>31959401</v>
      </c>
      <c r="Y174" s="4">
        <v>-62015008</v>
      </c>
      <c r="Z174" s="4">
        <v>109854042</v>
      </c>
    </row>
    <row r="175" spans="1:26" s="1" customFormat="1" ht="12.5" x14ac:dyDescent="0.25">
      <c r="A175" s="1" t="s">
        <v>134</v>
      </c>
      <c r="B175" s="4">
        <v>1323066684</v>
      </c>
      <c r="C175" s="4">
        <v>1682732214</v>
      </c>
      <c r="D175" s="4">
        <v>1832305388</v>
      </c>
      <c r="E175" s="4">
        <v>2150501324</v>
      </c>
      <c r="F175" s="4">
        <v>2229138329</v>
      </c>
      <c r="G175" s="4">
        <v>2499312681</v>
      </c>
      <c r="H175" s="4">
        <v>2948063031</v>
      </c>
      <c r="I175" s="4">
        <v>2986262099</v>
      </c>
      <c r="J175" s="4">
        <v>3333560544</v>
      </c>
      <c r="K175" s="4">
        <v>4653015998</v>
      </c>
      <c r="L175" s="4">
        <v>5735199017</v>
      </c>
      <c r="M175" s="6">
        <f>Table2[[#This Row],[2025]]/SUM(Table2[2025])</f>
        <v>3.6108783294401395E-4</v>
      </c>
      <c r="N175" s="4"/>
      <c r="O175" s="1" t="s">
        <v>166</v>
      </c>
      <c r="P175" s="4">
        <v>258062260</v>
      </c>
      <c r="Q175" s="4">
        <v>80651119</v>
      </c>
      <c r="R175" s="4">
        <v>2153717575</v>
      </c>
      <c r="S175" s="4">
        <v>-14202961</v>
      </c>
      <c r="T175" s="4">
        <v>-1522743509</v>
      </c>
      <c r="U175" s="4">
        <v>-2079660650</v>
      </c>
      <c r="V175" s="4">
        <v>-407963869</v>
      </c>
      <c r="W175" s="4">
        <v>-129587106</v>
      </c>
      <c r="X175" s="4">
        <v>-487781497</v>
      </c>
      <c r="Y175" s="4">
        <v>2944091568</v>
      </c>
      <c r="Z175" s="4">
        <v>13530622399</v>
      </c>
    </row>
    <row r="176" spans="1:26" s="1" customFormat="1" ht="12.5" x14ac:dyDescent="0.25">
      <c r="A176" s="1" t="s">
        <v>128</v>
      </c>
      <c r="B176" s="4">
        <v>1216342079</v>
      </c>
      <c r="C176" s="4">
        <v>1482375668</v>
      </c>
      <c r="D176" s="4">
        <v>1742978831</v>
      </c>
      <c r="E176" s="4">
        <v>2289928062</v>
      </c>
      <c r="F176" s="4">
        <v>2738511126</v>
      </c>
      <c r="G176" s="4">
        <v>3906537308</v>
      </c>
      <c r="H176" s="4">
        <v>4756344133</v>
      </c>
      <c r="I176" s="4">
        <v>4703566042</v>
      </c>
      <c r="J176" s="4">
        <v>4875736388</v>
      </c>
      <c r="K176" s="4">
        <v>5241595957</v>
      </c>
      <c r="L176" s="4">
        <v>5529287261</v>
      </c>
      <c r="M176" s="6">
        <f>Table2[[#This Row],[2025]]/SUM(Table2[2025])</f>
        <v>3.481236394554628E-4</v>
      </c>
      <c r="N176" s="4"/>
      <c r="O176" s="1" t="s">
        <v>167</v>
      </c>
      <c r="P176" s="4">
        <v>296744008</v>
      </c>
      <c r="Q176" s="4">
        <v>-191455948</v>
      </c>
      <c r="R176" s="4">
        <v>11313787</v>
      </c>
      <c r="S176" s="4">
        <v>14535825</v>
      </c>
      <c r="T176" s="4">
        <v>-106310692</v>
      </c>
      <c r="U176" s="4">
        <v>180635577</v>
      </c>
      <c r="V176" s="4">
        <v>1268328778</v>
      </c>
      <c r="W176" s="4">
        <v>983339358</v>
      </c>
      <c r="X176" s="4">
        <v>259525473</v>
      </c>
      <c r="Y176" s="4">
        <v>397167228</v>
      </c>
      <c r="Z176" s="4">
        <v>510859962</v>
      </c>
    </row>
    <row r="177" spans="1:26" s="1" customFormat="1" ht="12.5" x14ac:dyDescent="0.25">
      <c r="A177" s="1" t="s">
        <v>395</v>
      </c>
      <c r="B177" s="1" t="s">
        <v>21</v>
      </c>
      <c r="C177" s="1" t="s">
        <v>21</v>
      </c>
      <c r="D177" s="1" t="s">
        <v>21</v>
      </c>
      <c r="E177" s="1" t="s">
        <v>21</v>
      </c>
      <c r="F177" s="1" t="s">
        <v>21</v>
      </c>
      <c r="G177" s="4">
        <v>1160841274</v>
      </c>
      <c r="H177" s="4">
        <v>1967254858</v>
      </c>
      <c r="I177" s="4">
        <v>2239888151</v>
      </c>
      <c r="J177" s="4">
        <v>2852323349</v>
      </c>
      <c r="K177" s="4">
        <v>3834845604</v>
      </c>
      <c r="L177" s="4">
        <v>5506199922</v>
      </c>
      <c r="M177" s="6">
        <f>Table2[[#This Row],[2025]]/SUM(Table2[2025])</f>
        <v>3.4667006178828107E-4</v>
      </c>
      <c r="N177" s="4"/>
      <c r="O177" s="1" t="s">
        <v>168</v>
      </c>
      <c r="P177" s="4">
        <v>358780261</v>
      </c>
      <c r="Q177" s="4">
        <v>-804256845</v>
      </c>
      <c r="R177" s="4">
        <v>-172247237</v>
      </c>
      <c r="S177" s="4">
        <v>-45256796</v>
      </c>
      <c r="T177" s="4">
        <v>104550977</v>
      </c>
      <c r="U177" s="4">
        <v>60986911</v>
      </c>
      <c r="V177" s="4">
        <v>-13504553</v>
      </c>
      <c r="W177" s="4">
        <v>-754154086</v>
      </c>
      <c r="X177" s="4">
        <v>-165249964</v>
      </c>
      <c r="Y177" s="4">
        <v>-58435810</v>
      </c>
      <c r="Z177" s="4">
        <v>-254622028</v>
      </c>
    </row>
    <row r="178" spans="1:26" s="1" customFormat="1" ht="12.5" x14ac:dyDescent="0.25">
      <c r="A178" s="1" t="s">
        <v>107</v>
      </c>
      <c r="B178" s="4">
        <v>727687878</v>
      </c>
      <c r="C178" s="4">
        <v>1085760778</v>
      </c>
      <c r="D178" s="4">
        <v>1726989272</v>
      </c>
      <c r="E178" s="4">
        <v>1278657421</v>
      </c>
      <c r="F178" s="4">
        <v>1155468088</v>
      </c>
      <c r="G178" s="4">
        <v>1544293843</v>
      </c>
      <c r="H178" s="4">
        <v>2433056934</v>
      </c>
      <c r="I178" s="4">
        <v>3460670527</v>
      </c>
      <c r="J178" s="4">
        <v>4386690823</v>
      </c>
      <c r="K178" s="4">
        <v>7282923493</v>
      </c>
      <c r="L178" s="4">
        <v>5456209135</v>
      </c>
      <c r="M178" s="6">
        <f>Table2[[#This Row],[2025]]/SUM(Table2[2025])</f>
        <v>3.4352264442900725E-4</v>
      </c>
      <c r="N178" s="4"/>
      <c r="O178" s="1" t="s">
        <v>169</v>
      </c>
      <c r="P178" s="4">
        <v>-2159310622</v>
      </c>
      <c r="Q178" s="4">
        <v>-736682323</v>
      </c>
      <c r="R178" s="4">
        <v>411115576</v>
      </c>
      <c r="S178" s="4">
        <v>245364895</v>
      </c>
      <c r="T178" s="4">
        <v>235451191</v>
      </c>
      <c r="U178" s="4">
        <v>-58374762</v>
      </c>
      <c r="V178" s="4">
        <v>23361421</v>
      </c>
      <c r="W178" s="4">
        <v>367500452</v>
      </c>
      <c r="X178" s="4">
        <v>779007085</v>
      </c>
      <c r="Y178" s="4">
        <v>392920801</v>
      </c>
      <c r="Z178" s="4">
        <v>736925556</v>
      </c>
    </row>
    <row r="179" spans="1:26" s="1" customFormat="1" ht="12.5" x14ac:dyDescent="0.25">
      <c r="A179" s="1" t="s">
        <v>296</v>
      </c>
      <c r="B179" s="1" t="s">
        <v>21</v>
      </c>
      <c r="C179" s="4">
        <v>5038594</v>
      </c>
      <c r="D179" s="4">
        <v>1719035155</v>
      </c>
      <c r="E179" s="4">
        <v>2129368555</v>
      </c>
      <c r="F179" s="4">
        <v>2587713707</v>
      </c>
      <c r="G179" s="4">
        <v>2892324407</v>
      </c>
      <c r="H179" s="4">
        <v>3642072390</v>
      </c>
      <c r="I179" s="4">
        <v>3550428336</v>
      </c>
      <c r="J179" s="4">
        <v>4250290468</v>
      </c>
      <c r="K179" s="4">
        <v>4740140998</v>
      </c>
      <c r="L179" s="4">
        <v>5335931603</v>
      </c>
      <c r="M179" s="6">
        <f>Table2[[#This Row],[2025]]/SUM(Table2[2025])</f>
        <v>3.3594997724640402E-4</v>
      </c>
      <c r="N179" s="4"/>
      <c r="O179" s="1" t="s">
        <v>170</v>
      </c>
      <c r="P179" s="4">
        <v>547147822</v>
      </c>
      <c r="Q179" s="4">
        <v>403657699</v>
      </c>
      <c r="R179" s="4">
        <v>101310575</v>
      </c>
      <c r="S179" s="4">
        <v>-325209669</v>
      </c>
      <c r="T179" s="4">
        <v>-720731444</v>
      </c>
      <c r="U179" s="4">
        <v>-694907444</v>
      </c>
      <c r="V179" s="4">
        <v>-297893134</v>
      </c>
      <c r="W179" s="4">
        <v>640713327</v>
      </c>
      <c r="X179" s="4">
        <v>-490708888</v>
      </c>
      <c r="Y179" s="4">
        <v>-664602389</v>
      </c>
      <c r="Z179" s="4">
        <v>-334885102</v>
      </c>
    </row>
    <row r="180" spans="1:26" s="1" customFormat="1" ht="12.5" x14ac:dyDescent="0.25">
      <c r="A180" s="1" t="s">
        <v>172</v>
      </c>
      <c r="B180" s="4">
        <v>2508593172</v>
      </c>
      <c r="C180" s="4">
        <v>2566645412</v>
      </c>
      <c r="D180" s="4">
        <v>2775517621</v>
      </c>
      <c r="E180" s="4">
        <v>6535282815</v>
      </c>
      <c r="F180" s="4">
        <v>6681766194</v>
      </c>
      <c r="G180" s="4">
        <v>7136424742</v>
      </c>
      <c r="H180" s="4">
        <v>8427744316</v>
      </c>
      <c r="I180" s="4">
        <v>6684127448</v>
      </c>
      <c r="J180" s="4">
        <v>6612065507</v>
      </c>
      <c r="K180" s="4">
        <v>6023960177</v>
      </c>
      <c r="L180" s="4">
        <v>5251302550</v>
      </c>
      <c r="M180" s="6">
        <f>Table2[[#This Row],[2025]]/SUM(Table2[2025])</f>
        <v>3.3062173645453366E-4</v>
      </c>
      <c r="N180" s="4"/>
      <c r="O180" s="1" t="s">
        <v>171</v>
      </c>
      <c r="P180" s="4">
        <v>34457316</v>
      </c>
      <c r="Q180" s="4">
        <v>171188778</v>
      </c>
      <c r="R180" s="4">
        <v>2274401443</v>
      </c>
      <c r="S180" s="4">
        <v>-296973777</v>
      </c>
      <c r="T180" s="4">
        <v>-573732284</v>
      </c>
      <c r="U180" s="4">
        <v>42222142</v>
      </c>
      <c r="V180" s="4">
        <v>481123026</v>
      </c>
      <c r="W180" s="4">
        <v>1296571797</v>
      </c>
      <c r="X180" s="4">
        <v>67138740</v>
      </c>
      <c r="Y180" s="4">
        <v>-29513343</v>
      </c>
      <c r="Z180" s="4">
        <v>1375211957</v>
      </c>
    </row>
    <row r="181" spans="1:26" s="1" customFormat="1" ht="12.5" x14ac:dyDescent="0.25">
      <c r="A181" s="1" t="s">
        <v>144</v>
      </c>
      <c r="B181" s="4">
        <v>1496437205</v>
      </c>
      <c r="C181" s="4">
        <v>2107375055</v>
      </c>
      <c r="D181" s="4">
        <v>2484045269</v>
      </c>
      <c r="E181" s="4">
        <v>2267462742</v>
      </c>
      <c r="F181" s="4">
        <v>3050319306</v>
      </c>
      <c r="G181" s="4">
        <v>3599145352</v>
      </c>
      <c r="H181" s="4">
        <v>3028934367</v>
      </c>
      <c r="I181" s="4">
        <v>3525248684</v>
      </c>
      <c r="J181" s="4">
        <v>5030126318</v>
      </c>
      <c r="K181" s="4">
        <v>5369419817</v>
      </c>
      <c r="L181" s="4">
        <v>5230514421</v>
      </c>
      <c r="M181" s="6">
        <f>Table2[[#This Row],[2025]]/SUM(Table2[2025])</f>
        <v>3.2931291692981957E-4</v>
      </c>
      <c r="N181" s="4"/>
      <c r="O181" s="1" t="s">
        <v>172</v>
      </c>
      <c r="P181" s="4">
        <v>480095450</v>
      </c>
      <c r="Q181" s="4">
        <v>570975337</v>
      </c>
      <c r="R181" s="4">
        <v>141006573</v>
      </c>
      <c r="S181" s="4">
        <v>2593812555</v>
      </c>
      <c r="T181" s="4">
        <v>-688305904</v>
      </c>
      <c r="U181" s="4">
        <v>-702220972</v>
      </c>
      <c r="V181" s="4">
        <v>338783885</v>
      </c>
      <c r="W181" s="4">
        <v>-135004893</v>
      </c>
      <c r="X181" s="4">
        <v>-1458017984</v>
      </c>
      <c r="Y181" s="4">
        <v>-1156250466</v>
      </c>
      <c r="Z181" s="4">
        <v>-927932983</v>
      </c>
    </row>
    <row r="182" spans="1:26" s="1" customFormat="1" ht="12.5" x14ac:dyDescent="0.25">
      <c r="A182" s="1" t="s">
        <v>55</v>
      </c>
      <c r="B182" s="4">
        <v>247854726</v>
      </c>
      <c r="C182" s="4">
        <v>296801798</v>
      </c>
      <c r="D182" s="4">
        <v>323751539</v>
      </c>
      <c r="E182" s="4">
        <v>1161017376</v>
      </c>
      <c r="F182" s="4">
        <v>1719600287</v>
      </c>
      <c r="G182" s="4">
        <v>2158534728</v>
      </c>
      <c r="H182" s="4">
        <v>2578886322</v>
      </c>
      <c r="I182" s="4">
        <v>2666897405</v>
      </c>
      <c r="J182" s="4">
        <v>2927407355</v>
      </c>
      <c r="K182" s="4">
        <v>4610974129</v>
      </c>
      <c r="L182" s="4">
        <v>5195066924</v>
      </c>
      <c r="M182" s="6">
        <f>Table2[[#This Row],[2025]]/SUM(Table2[2025])</f>
        <v>3.2708114435539294E-4</v>
      </c>
      <c r="N182" s="4"/>
      <c r="O182" s="1" t="s">
        <v>173</v>
      </c>
      <c r="P182" s="4">
        <v>90309507</v>
      </c>
      <c r="Q182" s="4">
        <v>-94607474</v>
      </c>
      <c r="R182" s="4">
        <v>-743018042</v>
      </c>
      <c r="S182" s="4">
        <v>-420744618</v>
      </c>
      <c r="T182" s="4">
        <v>965592128</v>
      </c>
      <c r="U182" s="4">
        <v>3343057872</v>
      </c>
      <c r="V182" s="4">
        <v>991048303</v>
      </c>
      <c r="W182" s="4">
        <v>-4706085474</v>
      </c>
      <c r="X182" s="4">
        <v>-3699887296</v>
      </c>
      <c r="Y182" s="4">
        <v>-1141141015</v>
      </c>
      <c r="Z182" s="4">
        <v>-300586437</v>
      </c>
    </row>
    <row r="183" spans="1:26" s="1" customFormat="1" ht="12.5" x14ac:dyDescent="0.25">
      <c r="A183" s="1" t="s">
        <v>184</v>
      </c>
      <c r="B183" s="4">
        <v>3057201659</v>
      </c>
      <c r="C183" s="4">
        <v>3134417626</v>
      </c>
      <c r="D183" s="4">
        <v>3309161421</v>
      </c>
      <c r="E183" s="4">
        <v>2687518030</v>
      </c>
      <c r="F183" s="4">
        <v>2752679525</v>
      </c>
      <c r="G183" s="4">
        <v>2993522313</v>
      </c>
      <c r="H183" s="4">
        <v>3798624472</v>
      </c>
      <c r="I183" s="4">
        <v>3069261666</v>
      </c>
      <c r="J183" s="4">
        <v>5763692832</v>
      </c>
      <c r="K183" s="4">
        <v>5224418111</v>
      </c>
      <c r="L183" s="4">
        <v>5184161573</v>
      </c>
      <c r="M183" s="6">
        <f>Table2[[#This Row],[2025]]/SUM(Table2[2025])</f>
        <v>3.2639454402148788E-4</v>
      </c>
      <c r="N183" s="4"/>
      <c r="O183" s="1" t="s">
        <v>174</v>
      </c>
      <c r="P183" s="4">
        <v>595784841</v>
      </c>
      <c r="Q183" s="4">
        <v>-138458651</v>
      </c>
      <c r="R183" s="4">
        <v>927806043</v>
      </c>
      <c r="S183" s="4">
        <v>836581184</v>
      </c>
      <c r="T183" s="4">
        <v>-352169626</v>
      </c>
      <c r="U183" s="4">
        <v>-547700684</v>
      </c>
      <c r="V183" s="4">
        <v>551397603</v>
      </c>
      <c r="W183" s="4">
        <v>395097369</v>
      </c>
      <c r="X183" s="4">
        <v>8351859</v>
      </c>
      <c r="Y183" s="4">
        <v>1587877602</v>
      </c>
      <c r="Z183" s="4">
        <v>431499471</v>
      </c>
    </row>
    <row r="184" spans="1:26" s="1" customFormat="1" ht="12.5" x14ac:dyDescent="0.25">
      <c r="A184" s="1" t="s">
        <v>165</v>
      </c>
      <c r="B184" s="4">
        <v>2296104701</v>
      </c>
      <c r="C184" s="4">
        <v>2556222815</v>
      </c>
      <c r="D184" s="4">
        <v>2894185028</v>
      </c>
      <c r="E184" s="4">
        <v>2968486846</v>
      </c>
      <c r="F184" s="4">
        <v>3211766682</v>
      </c>
      <c r="G184" s="4">
        <v>2967711852</v>
      </c>
      <c r="H184" s="4">
        <v>3429451726</v>
      </c>
      <c r="I184" s="4">
        <v>3382728975</v>
      </c>
      <c r="J184" s="4">
        <v>3761060390</v>
      </c>
      <c r="K184" s="4">
        <v>4135126414</v>
      </c>
      <c r="L184" s="4">
        <v>5023404053</v>
      </c>
      <c r="M184" s="6">
        <f>Table2[[#This Row],[2025]]/SUM(Table2[2025])</f>
        <v>3.1627325889185386E-4</v>
      </c>
      <c r="N184" s="4"/>
      <c r="O184" s="1" t="s">
        <v>175</v>
      </c>
      <c r="P184" s="4">
        <v>-307221392</v>
      </c>
      <c r="Q184" s="4">
        <v>-267401944</v>
      </c>
      <c r="R184" s="4">
        <v>881708473</v>
      </c>
      <c r="S184" s="4">
        <v>-227048338</v>
      </c>
      <c r="T184" s="4">
        <v>-349760934</v>
      </c>
      <c r="U184" s="4">
        <v>-41500980</v>
      </c>
      <c r="V184" s="4">
        <v>46479512</v>
      </c>
      <c r="W184" s="4">
        <v>-26365919</v>
      </c>
      <c r="X184" s="4">
        <v>-212067179</v>
      </c>
      <c r="Y184" s="4">
        <v>-293309890</v>
      </c>
      <c r="Z184" s="4">
        <v>-203651925</v>
      </c>
    </row>
    <row r="185" spans="1:26" s="1" customFormat="1" ht="12.5" x14ac:dyDescent="0.25">
      <c r="A185" s="1" t="s">
        <v>319</v>
      </c>
      <c r="B185" s="1" t="s">
        <v>21</v>
      </c>
      <c r="C185" s="4">
        <v>823433773</v>
      </c>
      <c r="D185" s="4">
        <v>1042415614</v>
      </c>
      <c r="E185" s="4">
        <v>1185844764</v>
      </c>
      <c r="F185" s="4">
        <v>1401565813</v>
      </c>
      <c r="G185" s="4">
        <v>2553624454</v>
      </c>
      <c r="H185" s="4">
        <v>3159130762</v>
      </c>
      <c r="I185" s="4">
        <v>3225256581</v>
      </c>
      <c r="J185" s="4">
        <v>3618867970</v>
      </c>
      <c r="K185" s="4">
        <v>4136165017</v>
      </c>
      <c r="L185" s="4">
        <v>4964691673</v>
      </c>
      <c r="M185" s="6">
        <f>Table2[[#This Row],[2025]]/SUM(Table2[2025])</f>
        <v>3.1257673048920478E-4</v>
      </c>
      <c r="N185" s="4"/>
      <c r="O185" s="1" t="s">
        <v>176</v>
      </c>
      <c r="P185" s="4">
        <v>35610440</v>
      </c>
      <c r="Q185" s="4">
        <v>128012745</v>
      </c>
      <c r="R185" s="4">
        <v>-73664234</v>
      </c>
      <c r="S185" s="4">
        <v>-226107542</v>
      </c>
      <c r="T185" s="4">
        <v>-63438554</v>
      </c>
      <c r="U185" s="4">
        <v>-236813075</v>
      </c>
      <c r="V185" s="4">
        <v>-412836094</v>
      </c>
      <c r="W185" s="4">
        <v>-207147251</v>
      </c>
      <c r="X185" s="4">
        <v>-231928211</v>
      </c>
      <c r="Y185" s="4">
        <v>-272250738</v>
      </c>
      <c r="Z185" s="4">
        <v>-185882957</v>
      </c>
    </row>
    <row r="186" spans="1:26" s="1" customFormat="1" ht="12.5" x14ac:dyDescent="0.25">
      <c r="A186" s="1" t="s">
        <v>363</v>
      </c>
      <c r="B186" s="1" t="s">
        <v>21</v>
      </c>
      <c r="C186" s="1" t="s">
        <v>21</v>
      </c>
      <c r="D186" s="1" t="s">
        <v>21</v>
      </c>
      <c r="E186" s="1" t="s">
        <v>21</v>
      </c>
      <c r="F186" s="4">
        <v>385009117</v>
      </c>
      <c r="G186" s="4">
        <v>410323237</v>
      </c>
      <c r="H186" s="4">
        <v>1038826520</v>
      </c>
      <c r="I186" s="4">
        <v>1131940028</v>
      </c>
      <c r="J186" s="4">
        <v>3277978684</v>
      </c>
      <c r="K186" s="4">
        <v>3946069065</v>
      </c>
      <c r="L186" s="4">
        <v>4847931688</v>
      </c>
      <c r="M186" s="6">
        <f>Table2[[#This Row],[2025]]/SUM(Table2[2025])</f>
        <v>3.0522552788346172E-4</v>
      </c>
      <c r="N186" s="4"/>
      <c r="O186" s="1" t="s">
        <v>177</v>
      </c>
      <c r="P186" s="4">
        <v>24883277</v>
      </c>
      <c r="Q186" s="4">
        <v>-19340429</v>
      </c>
      <c r="R186" s="4">
        <v>-78375329</v>
      </c>
      <c r="S186" s="4">
        <v>327699933</v>
      </c>
      <c r="T186" s="4">
        <v>132730886</v>
      </c>
      <c r="U186" s="4">
        <v>777981039</v>
      </c>
      <c r="V186" s="4">
        <v>261686038</v>
      </c>
      <c r="W186" s="4">
        <v>1488882157</v>
      </c>
      <c r="X186" s="4">
        <v>634860567</v>
      </c>
      <c r="Y186" s="4">
        <v>494225180</v>
      </c>
      <c r="Z186" s="4">
        <v>-1121463753</v>
      </c>
    </row>
    <row r="187" spans="1:26" s="1" customFormat="1" ht="12.5" x14ac:dyDescent="0.25">
      <c r="A187" s="1" t="s">
        <v>321</v>
      </c>
      <c r="B187" s="1" t="s">
        <v>21</v>
      </c>
      <c r="C187" s="1" t="s">
        <v>21</v>
      </c>
      <c r="D187" s="4">
        <v>23014496</v>
      </c>
      <c r="E187" s="4">
        <v>496243755</v>
      </c>
      <c r="F187" s="4">
        <v>1060909709</v>
      </c>
      <c r="G187" s="4">
        <v>1738647277</v>
      </c>
      <c r="H187" s="4">
        <v>2425871157</v>
      </c>
      <c r="I187" s="4">
        <v>2569278128</v>
      </c>
      <c r="J187" s="4">
        <v>3116031257</v>
      </c>
      <c r="K187" s="4">
        <v>3854842294</v>
      </c>
      <c r="L187" s="4">
        <v>4720652037</v>
      </c>
      <c r="M187" s="6">
        <f>Table2[[#This Row],[2025]]/SUM(Table2[2025])</f>
        <v>2.9721200765142955E-4</v>
      </c>
      <c r="N187" s="4"/>
      <c r="O187" s="1" t="s">
        <v>178</v>
      </c>
      <c r="P187" s="4">
        <v>2174122986</v>
      </c>
      <c r="Q187" s="4">
        <v>701472150</v>
      </c>
      <c r="R187" s="4">
        <v>3438657430</v>
      </c>
      <c r="S187" s="4">
        <v>371028226</v>
      </c>
      <c r="T187" s="4">
        <v>1162847575</v>
      </c>
      <c r="U187" s="4">
        <v>5379291145</v>
      </c>
      <c r="V187" s="4">
        <v>2269046908</v>
      </c>
      <c r="W187" s="4">
        <v>542348806</v>
      </c>
      <c r="X187" s="4">
        <v>1533141279</v>
      </c>
      <c r="Y187" s="4">
        <v>2073808942</v>
      </c>
      <c r="Z187" s="4">
        <v>3366958046</v>
      </c>
    </row>
    <row r="188" spans="1:26" s="1" customFormat="1" ht="12.5" x14ac:dyDescent="0.25">
      <c r="A188" s="1" t="s">
        <v>313</v>
      </c>
      <c r="B188" s="1" t="s">
        <v>21</v>
      </c>
      <c r="C188" s="4">
        <v>1416526172</v>
      </c>
      <c r="D188" s="4">
        <v>1536103413</v>
      </c>
      <c r="E188" s="4">
        <v>1478018223</v>
      </c>
      <c r="F188" s="4">
        <v>1604669813</v>
      </c>
      <c r="G188" s="4">
        <v>1827978931</v>
      </c>
      <c r="H188" s="4">
        <v>2474404477</v>
      </c>
      <c r="I188" s="4">
        <v>2926746491</v>
      </c>
      <c r="J188" s="4">
        <v>3327784783</v>
      </c>
      <c r="K188" s="4">
        <v>3949461440</v>
      </c>
      <c r="L188" s="4">
        <v>4718948600</v>
      </c>
      <c r="M188" s="6">
        <f>Table2[[#This Row],[2025]]/SUM(Table2[2025])</f>
        <v>2.9710475934617222E-4</v>
      </c>
      <c r="N188" s="4"/>
      <c r="O188" s="1" t="s">
        <v>179</v>
      </c>
      <c r="P188" s="4">
        <v>65338129</v>
      </c>
      <c r="Q188" s="4">
        <v>-625768006</v>
      </c>
      <c r="R188" s="4">
        <v>-403414393</v>
      </c>
      <c r="S188" s="4">
        <v>-623573088</v>
      </c>
      <c r="T188" s="4">
        <v>-62514493</v>
      </c>
      <c r="U188" s="4">
        <v>-93318376</v>
      </c>
      <c r="V188" s="4">
        <v>-96258584</v>
      </c>
      <c r="W188" s="4">
        <v>-89947415</v>
      </c>
      <c r="X188" s="4">
        <v>-63094169</v>
      </c>
      <c r="Y188" s="4">
        <v>-40289730</v>
      </c>
      <c r="Z188" s="4">
        <v>-127852248</v>
      </c>
    </row>
    <row r="189" spans="1:26" s="1" customFormat="1" ht="12.5" x14ac:dyDescent="0.25">
      <c r="A189" s="1" t="s">
        <v>205</v>
      </c>
      <c r="B189" s="4">
        <v>5435437577</v>
      </c>
      <c r="C189" s="4">
        <v>6246620866</v>
      </c>
      <c r="D189" s="4">
        <v>6697026607</v>
      </c>
      <c r="E189" s="4">
        <v>6684107576</v>
      </c>
      <c r="F189" s="4">
        <v>6456698468</v>
      </c>
      <c r="G189" s="4">
        <v>5286805598</v>
      </c>
      <c r="H189" s="4">
        <v>6226457045</v>
      </c>
      <c r="I189" s="4">
        <v>5725399178</v>
      </c>
      <c r="J189" s="4">
        <v>4932151175</v>
      </c>
      <c r="K189" s="4">
        <v>4967247178</v>
      </c>
      <c r="L189" s="4">
        <v>4708633074</v>
      </c>
      <c r="M189" s="6">
        <f>Table2[[#This Row],[2025]]/SUM(Table2[2025])</f>
        <v>2.9645529436370577E-4</v>
      </c>
      <c r="N189" s="4"/>
      <c r="O189" s="1" t="s">
        <v>180</v>
      </c>
      <c r="P189" s="4">
        <v>-197918858</v>
      </c>
      <c r="Q189" s="4">
        <v>341190667</v>
      </c>
      <c r="R189" s="4">
        <v>-42374433</v>
      </c>
      <c r="S189" s="4">
        <v>-412350477</v>
      </c>
      <c r="T189" s="4">
        <v>-148586320</v>
      </c>
      <c r="U189" s="4">
        <v>158160361</v>
      </c>
      <c r="V189" s="4">
        <v>-183770886</v>
      </c>
      <c r="W189" s="4">
        <v>-204220296</v>
      </c>
      <c r="X189" s="4">
        <v>16739226</v>
      </c>
      <c r="Y189" s="4">
        <v>-51075587</v>
      </c>
      <c r="Z189" s="4">
        <v>-243680923</v>
      </c>
    </row>
    <row r="190" spans="1:26" s="1" customFormat="1" ht="12.5" x14ac:dyDescent="0.25">
      <c r="A190" s="1" t="s">
        <v>201</v>
      </c>
      <c r="B190" s="4">
        <v>5276467163</v>
      </c>
      <c r="C190" s="4">
        <v>4624785704</v>
      </c>
      <c r="D190" s="4">
        <v>6848614586</v>
      </c>
      <c r="E190" s="4">
        <v>7420111667</v>
      </c>
      <c r="F190" s="4">
        <v>6233017427</v>
      </c>
      <c r="G190" s="4">
        <v>6181735451</v>
      </c>
      <c r="H190" s="4">
        <v>4717530645</v>
      </c>
      <c r="I190" s="4">
        <v>7888428128</v>
      </c>
      <c r="J190" s="4">
        <v>8356984899</v>
      </c>
      <c r="K190" s="4">
        <v>8320133338</v>
      </c>
      <c r="L190" s="4">
        <v>4624546369</v>
      </c>
      <c r="M190" s="6">
        <f>Table2[[#This Row],[2025]]/SUM(Table2[2025])</f>
        <v>2.9116119977381393E-4</v>
      </c>
      <c r="N190" s="4"/>
      <c r="O190" s="1" t="s">
        <v>181</v>
      </c>
      <c r="P190" s="4">
        <v>688055489</v>
      </c>
      <c r="Q190" s="4">
        <v>590921562</v>
      </c>
      <c r="R190" s="4">
        <v>-413180335</v>
      </c>
      <c r="S190" s="4">
        <v>251889539</v>
      </c>
      <c r="T190" s="4">
        <v>-2438276572</v>
      </c>
      <c r="U190" s="4">
        <v>902861925</v>
      </c>
      <c r="V190" s="4">
        <v>3232850448</v>
      </c>
      <c r="W190" s="4">
        <v>50252821</v>
      </c>
      <c r="X190" s="4">
        <v>-190831238</v>
      </c>
      <c r="Y190" s="4">
        <v>-16146512</v>
      </c>
      <c r="Z190" s="4">
        <v>-214711205</v>
      </c>
    </row>
    <row r="191" spans="1:26" s="1" customFormat="1" ht="12.5" x14ac:dyDescent="0.25">
      <c r="A191" s="1" t="s">
        <v>106</v>
      </c>
      <c r="B191" s="4">
        <v>715466366</v>
      </c>
      <c r="C191" s="4">
        <v>803554051</v>
      </c>
      <c r="D191" s="4">
        <v>895847769</v>
      </c>
      <c r="E191" s="4">
        <v>1494341153</v>
      </c>
      <c r="F191" s="4">
        <v>1763945014</v>
      </c>
      <c r="G191" s="4">
        <v>1560054070</v>
      </c>
      <c r="H191" s="4">
        <v>2144965655</v>
      </c>
      <c r="I191" s="4">
        <v>2695974849</v>
      </c>
      <c r="J191" s="4">
        <v>3142340747</v>
      </c>
      <c r="K191" s="4">
        <v>3530004068</v>
      </c>
      <c r="L191" s="4">
        <v>4513742263</v>
      </c>
      <c r="M191" s="6">
        <f>Table2[[#This Row],[2025]]/SUM(Table2[2025])</f>
        <v>2.8418497900131013E-4</v>
      </c>
      <c r="N191" s="4"/>
      <c r="O191" s="1" t="s">
        <v>182</v>
      </c>
      <c r="P191" s="4">
        <v>817490454</v>
      </c>
      <c r="Q191" s="4">
        <v>2151125084</v>
      </c>
      <c r="R191" s="4">
        <v>1806606038</v>
      </c>
      <c r="S191" s="4">
        <v>3999450195</v>
      </c>
      <c r="T191" s="4">
        <v>8188996641</v>
      </c>
      <c r="U191" s="4">
        <v>9429971310</v>
      </c>
      <c r="V191" s="4">
        <v>15462345343</v>
      </c>
      <c r="W191" s="4">
        <v>28146459276</v>
      </c>
      <c r="X191" s="4">
        <v>24372089650</v>
      </c>
      <c r="Y191" s="4">
        <v>1903054464</v>
      </c>
      <c r="Z191" s="4">
        <v>-17112616327</v>
      </c>
    </row>
    <row r="192" spans="1:26" s="1" customFormat="1" ht="12.5" x14ac:dyDescent="0.25">
      <c r="A192" s="1" t="s">
        <v>161</v>
      </c>
      <c r="B192" s="4">
        <v>2125065866</v>
      </c>
      <c r="C192" s="4">
        <v>2299993444</v>
      </c>
      <c r="D192" s="4">
        <v>2422311335</v>
      </c>
      <c r="E192" s="4">
        <v>2371891767</v>
      </c>
      <c r="F192" s="4">
        <v>2619278167</v>
      </c>
      <c r="G192" s="4">
        <v>2849309835</v>
      </c>
      <c r="H192" s="4">
        <v>4064503972</v>
      </c>
      <c r="I192" s="4">
        <v>3521391180</v>
      </c>
      <c r="J192" s="4">
        <v>4656061902</v>
      </c>
      <c r="K192" s="4">
        <v>4103079691</v>
      </c>
      <c r="L192" s="4">
        <v>4447307413</v>
      </c>
      <c r="M192" s="6">
        <f>Table2[[#This Row],[2025]]/SUM(Table2[2025])</f>
        <v>2.8000224428759678E-4</v>
      </c>
      <c r="N192" s="4"/>
      <c r="O192" s="1" t="s">
        <v>183</v>
      </c>
      <c r="P192" s="4">
        <v>746358587</v>
      </c>
      <c r="Q192" s="4">
        <v>1779813638</v>
      </c>
      <c r="R192" s="4">
        <v>3550013104</v>
      </c>
      <c r="S192" s="4">
        <v>5788442458</v>
      </c>
      <c r="T192" s="4">
        <v>8563919767</v>
      </c>
      <c r="U192" s="4">
        <v>1524077307</v>
      </c>
      <c r="V192" s="4">
        <v>5331190024</v>
      </c>
      <c r="W192" s="4">
        <v>-5537836102</v>
      </c>
      <c r="X192" s="4">
        <v>2579381925</v>
      </c>
      <c r="Y192" s="4">
        <v>5099467069</v>
      </c>
      <c r="Z192" s="4">
        <v>5436610815</v>
      </c>
    </row>
    <row r="193" spans="1:26" s="1" customFormat="1" ht="12.5" x14ac:dyDescent="0.25">
      <c r="A193" s="1" t="s">
        <v>163</v>
      </c>
      <c r="B193" s="4">
        <v>2256747879</v>
      </c>
      <c r="C193" s="4">
        <v>2035031358</v>
      </c>
      <c r="D193" s="4">
        <v>1817830049</v>
      </c>
      <c r="E193" s="4">
        <v>1755293620</v>
      </c>
      <c r="F193" s="4">
        <v>2331119139</v>
      </c>
      <c r="G193" s="4">
        <v>2132360201</v>
      </c>
      <c r="H193" s="4">
        <v>3292171632</v>
      </c>
      <c r="I193" s="4">
        <v>3493474871</v>
      </c>
      <c r="J193" s="4">
        <v>3771170837</v>
      </c>
      <c r="K193" s="4">
        <v>4189564985</v>
      </c>
      <c r="L193" s="4">
        <v>4437894169</v>
      </c>
      <c r="M193" s="6">
        <f>Table2[[#This Row],[2025]]/SUM(Table2[2025])</f>
        <v>2.7940958693309907E-4</v>
      </c>
      <c r="N193" s="4"/>
      <c r="O193" s="1" t="s">
        <v>184</v>
      </c>
      <c r="P193" s="4">
        <v>692653435</v>
      </c>
      <c r="Q193" s="4">
        <v>356270694</v>
      </c>
      <c r="R193" s="4">
        <v>-208385666</v>
      </c>
      <c r="S193" s="4">
        <v>-384099168</v>
      </c>
      <c r="T193" s="4">
        <v>-280217452</v>
      </c>
      <c r="U193" s="4">
        <v>20915786</v>
      </c>
      <c r="V193" s="4">
        <v>68438810</v>
      </c>
      <c r="W193" s="4">
        <v>-96753686</v>
      </c>
      <c r="X193" s="4">
        <v>1436777594</v>
      </c>
      <c r="Y193" s="4">
        <v>-1096969826</v>
      </c>
      <c r="Z193" s="4">
        <v>-470486074</v>
      </c>
    </row>
    <row r="194" spans="1:26" s="1" customFormat="1" ht="12.5" x14ac:dyDescent="0.25">
      <c r="A194" s="1" t="s">
        <v>263</v>
      </c>
      <c r="B194" s="4">
        <v>70845912462</v>
      </c>
      <c r="C194" s="4">
        <v>59827228108</v>
      </c>
      <c r="D194" s="4">
        <v>54107015754</v>
      </c>
      <c r="E194" s="4">
        <v>43845668997</v>
      </c>
      <c r="F194" s="4">
        <v>21907158579</v>
      </c>
      <c r="G194" s="4">
        <v>13713471694</v>
      </c>
      <c r="H194" s="4">
        <v>11129225073</v>
      </c>
      <c r="I194" s="4">
        <v>4019670930</v>
      </c>
      <c r="J194" s="4">
        <v>4369552864</v>
      </c>
      <c r="K194" s="4">
        <v>4828341997</v>
      </c>
      <c r="L194" s="4">
        <v>4323142373</v>
      </c>
      <c r="M194" s="6">
        <f>Table2[[#This Row],[2025]]/SUM(Table2[2025])</f>
        <v>2.7218481980274269E-4</v>
      </c>
      <c r="N194" s="4"/>
      <c r="O194" s="1" t="s">
        <v>185</v>
      </c>
      <c r="P194" s="4">
        <v>175623055</v>
      </c>
      <c r="Q194" s="4">
        <v>236220948</v>
      </c>
      <c r="R194" s="4">
        <v>277602582</v>
      </c>
      <c r="S194" s="4">
        <v>-412723476</v>
      </c>
      <c r="T194" s="4">
        <v>49349668</v>
      </c>
      <c r="U194" s="4">
        <v>63670842</v>
      </c>
      <c r="V194" s="4">
        <v>322625890</v>
      </c>
      <c r="W194" s="4">
        <v>-21542317</v>
      </c>
      <c r="X194" s="4">
        <v>566363706</v>
      </c>
      <c r="Y194" s="4">
        <v>57664875</v>
      </c>
      <c r="Z194" s="4">
        <v>-1725241</v>
      </c>
    </row>
    <row r="195" spans="1:26" s="1" customFormat="1" ht="12.5" x14ac:dyDescent="0.25">
      <c r="A195" s="1" t="s">
        <v>351</v>
      </c>
      <c r="B195" s="1" t="s">
        <v>21</v>
      </c>
      <c r="C195" s="1" t="s">
        <v>21</v>
      </c>
      <c r="D195" s="1" t="s">
        <v>21</v>
      </c>
      <c r="E195" s="4">
        <v>547631728</v>
      </c>
      <c r="F195" s="4">
        <v>772341537</v>
      </c>
      <c r="G195" s="4">
        <v>2053570616</v>
      </c>
      <c r="H195" s="4">
        <v>3491728984</v>
      </c>
      <c r="I195" s="4">
        <v>3302854091</v>
      </c>
      <c r="J195" s="4">
        <v>3852979173</v>
      </c>
      <c r="K195" s="4">
        <v>4639531429</v>
      </c>
      <c r="L195" s="4">
        <v>4191059056</v>
      </c>
      <c r="M195" s="6">
        <f>Table2[[#This Row],[2025]]/SUM(Table2[2025])</f>
        <v>2.6386886100825E-4</v>
      </c>
      <c r="N195" s="4"/>
      <c r="O195" s="1" t="s">
        <v>186</v>
      </c>
      <c r="P195" s="4">
        <v>-1787684980</v>
      </c>
      <c r="Q195" s="4">
        <v>-2424930636</v>
      </c>
      <c r="R195" s="4">
        <v>69639395</v>
      </c>
      <c r="S195" s="4">
        <v>494233950</v>
      </c>
      <c r="T195" s="4">
        <v>447951106</v>
      </c>
      <c r="U195" s="4">
        <v>-750984246</v>
      </c>
      <c r="V195" s="4">
        <v>148642762</v>
      </c>
      <c r="W195" s="4">
        <v>-357159666</v>
      </c>
      <c r="X195" s="4">
        <v>260304296</v>
      </c>
      <c r="Y195" s="4">
        <v>3402623723</v>
      </c>
      <c r="Z195" s="4">
        <v>-182684813</v>
      </c>
    </row>
    <row r="196" spans="1:26" s="1" customFormat="1" ht="12.5" x14ac:dyDescent="0.25">
      <c r="A196" s="1" t="s">
        <v>21</v>
      </c>
      <c r="B196" s="4">
        <v>738139675</v>
      </c>
      <c r="C196" s="4">
        <v>965511360</v>
      </c>
      <c r="D196" s="4">
        <v>1102298332</v>
      </c>
      <c r="E196" s="4">
        <v>1144145174</v>
      </c>
      <c r="F196" s="4">
        <v>2033426149</v>
      </c>
      <c r="G196" s="4">
        <v>2395042230</v>
      </c>
      <c r="H196" s="4">
        <v>2803734334</v>
      </c>
      <c r="I196" s="4">
        <v>2669898527</v>
      </c>
      <c r="J196" s="4">
        <v>2989072194</v>
      </c>
      <c r="K196" s="4">
        <v>3379269254</v>
      </c>
      <c r="L196" s="4">
        <v>4146600837</v>
      </c>
      <c r="M196" s="7">
        <f>Table2[[#This Row],[2025]]/SUM(Table2[2025])</f>
        <v>2.6106977384358909E-4</v>
      </c>
      <c r="O196" s="1" t="s">
        <v>187</v>
      </c>
      <c r="P196" s="4">
        <v>1985566816</v>
      </c>
      <c r="Q196" s="4">
        <v>61786995</v>
      </c>
      <c r="R196" s="4">
        <v>6995087143</v>
      </c>
      <c r="S196" s="4">
        <v>-859888071</v>
      </c>
      <c r="T196" s="4">
        <v>-1333787609</v>
      </c>
      <c r="U196" s="4">
        <v>-4112</v>
      </c>
      <c r="V196" s="4">
        <v>1740</v>
      </c>
      <c r="W196" s="1" t="s">
        <v>21</v>
      </c>
      <c r="X196" s="1" t="s">
        <v>21</v>
      </c>
      <c r="Y196" s="1" t="s">
        <v>21</v>
      </c>
      <c r="Z196" s="1" t="s">
        <v>21</v>
      </c>
    </row>
    <row r="197" spans="1:26" s="1" customFormat="1" ht="12.5" x14ac:dyDescent="0.25">
      <c r="A197" s="1" t="s">
        <v>460</v>
      </c>
      <c r="B197" s="1" t="s">
        <v>21</v>
      </c>
      <c r="C197" s="1" t="s">
        <v>21</v>
      </c>
      <c r="D197" s="1" t="s">
        <v>21</v>
      </c>
      <c r="E197" s="1" t="s">
        <v>21</v>
      </c>
      <c r="F197" s="1" t="s">
        <v>21</v>
      </c>
      <c r="G197" s="1" t="s">
        <v>21</v>
      </c>
      <c r="H197" s="1" t="s">
        <v>21</v>
      </c>
      <c r="I197" s="1" t="s">
        <v>21</v>
      </c>
      <c r="J197" s="1" t="s">
        <v>21</v>
      </c>
      <c r="K197" s="4">
        <v>2588253349</v>
      </c>
      <c r="L197" s="4">
        <v>3974198905</v>
      </c>
      <c r="M197" s="6">
        <f>Table2[[#This Row],[2025]]/SUM(Table2[2025])</f>
        <v>2.5021535713778411E-4</v>
      </c>
      <c r="N197" s="4"/>
      <c r="O197" s="1" t="s">
        <v>188</v>
      </c>
      <c r="P197" s="4">
        <v>-733652155</v>
      </c>
      <c r="Q197" s="4">
        <v>-500505263</v>
      </c>
      <c r="R197" s="4">
        <v>-216126103</v>
      </c>
      <c r="S197" s="4">
        <v>-497418906</v>
      </c>
      <c r="T197" s="4">
        <v>-204425656</v>
      </c>
      <c r="U197" s="4">
        <v>-234826229</v>
      </c>
      <c r="V197" s="4">
        <v>-149015952</v>
      </c>
      <c r="W197" s="4">
        <v>345639912</v>
      </c>
      <c r="X197" s="4">
        <v>156574571</v>
      </c>
      <c r="Y197" s="4">
        <v>479651442</v>
      </c>
      <c r="Z197" s="4">
        <v>654585377</v>
      </c>
    </row>
    <row r="198" spans="1:26" s="1" customFormat="1" ht="12.5" x14ac:dyDescent="0.25">
      <c r="A198" s="1" t="s">
        <v>81</v>
      </c>
      <c r="B198" s="4">
        <v>448857425</v>
      </c>
      <c r="C198" s="4">
        <v>270571753</v>
      </c>
      <c r="D198" s="4">
        <v>576253320</v>
      </c>
      <c r="E198" s="4">
        <v>552105010</v>
      </c>
      <c r="F198" s="4">
        <v>326069371</v>
      </c>
      <c r="G198" s="4">
        <v>1235802110</v>
      </c>
      <c r="H198" s="4">
        <v>2143835316</v>
      </c>
      <c r="I198" s="4">
        <v>2113051525</v>
      </c>
      <c r="J198" s="4">
        <v>2382037896</v>
      </c>
      <c r="K198" s="4">
        <v>2901631634</v>
      </c>
      <c r="L198" s="4">
        <v>3933666258</v>
      </c>
      <c r="M198" s="6">
        <f>Table2[[#This Row],[2025]]/SUM(Table2[2025])</f>
        <v>2.4766342378284179E-4</v>
      </c>
      <c r="N198" s="4"/>
      <c r="O198" s="1" t="s">
        <v>189</v>
      </c>
      <c r="P198" s="4">
        <v>1034193262</v>
      </c>
      <c r="Q198" s="4">
        <v>716693283</v>
      </c>
      <c r="R198" s="4">
        <v>490920981</v>
      </c>
      <c r="S198" s="4">
        <v>2256691135</v>
      </c>
      <c r="T198" s="4">
        <v>-105358304</v>
      </c>
      <c r="U198" s="4">
        <v>-506116101</v>
      </c>
      <c r="V198" s="4">
        <v>460875304</v>
      </c>
      <c r="W198" s="4">
        <v>779461743</v>
      </c>
      <c r="X198" s="4">
        <v>-820113224</v>
      </c>
      <c r="Y198" s="4">
        <v>-687401180</v>
      </c>
      <c r="Z198" s="4">
        <v>-1411262252</v>
      </c>
    </row>
    <row r="199" spans="1:26" s="1" customFormat="1" ht="12.5" x14ac:dyDescent="0.25">
      <c r="A199" s="1" t="s">
        <v>384</v>
      </c>
      <c r="B199" s="1" t="s">
        <v>21</v>
      </c>
      <c r="C199" s="1" t="s">
        <v>21</v>
      </c>
      <c r="D199" s="1" t="s">
        <v>21</v>
      </c>
      <c r="E199" s="1" t="s">
        <v>21</v>
      </c>
      <c r="F199" s="1" t="s">
        <v>21</v>
      </c>
      <c r="G199" s="4">
        <v>339645159</v>
      </c>
      <c r="H199" s="4">
        <v>356173647</v>
      </c>
      <c r="I199" s="4">
        <v>252432934</v>
      </c>
      <c r="J199" s="4">
        <v>222341520</v>
      </c>
      <c r="K199" s="4">
        <v>209891092</v>
      </c>
      <c r="L199" s="4">
        <v>3933091879</v>
      </c>
      <c r="M199" s="6">
        <f>Table2[[#This Row],[2025]]/SUM(Table2[2025])</f>
        <v>2.4762726091076293E-4</v>
      </c>
      <c r="N199" s="4"/>
      <c r="O199" s="1" t="s">
        <v>190</v>
      </c>
      <c r="P199" s="4">
        <v>792483020</v>
      </c>
      <c r="Q199" s="4">
        <v>427798439</v>
      </c>
      <c r="R199" s="4">
        <v>294978940</v>
      </c>
      <c r="S199" s="4">
        <v>792941236</v>
      </c>
      <c r="T199" s="4">
        <v>-352089524</v>
      </c>
      <c r="U199" s="4">
        <v>-1243789875</v>
      </c>
      <c r="V199" s="4">
        <v>-634828339</v>
      </c>
      <c r="W199" s="4">
        <v>-463908583</v>
      </c>
      <c r="X199" s="4">
        <v>-76951554</v>
      </c>
      <c r="Y199" s="4">
        <v>-88947314</v>
      </c>
      <c r="Z199" s="4">
        <v>-215495375</v>
      </c>
    </row>
    <row r="200" spans="1:26" s="1" customFormat="1" ht="12.5" x14ac:dyDescent="0.25">
      <c r="A200" s="1" t="s">
        <v>414</v>
      </c>
      <c r="B200" s="1" t="s">
        <v>21</v>
      </c>
      <c r="C200" s="1" t="s">
        <v>21</v>
      </c>
      <c r="D200" s="1" t="s">
        <v>21</v>
      </c>
      <c r="E200" s="1" t="s">
        <v>21</v>
      </c>
      <c r="F200" s="1" t="s">
        <v>21</v>
      </c>
      <c r="G200" s="1" t="s">
        <v>21</v>
      </c>
      <c r="H200" s="4">
        <v>219297440</v>
      </c>
      <c r="I200" s="4">
        <v>979270968</v>
      </c>
      <c r="J200" s="4">
        <v>1318724989</v>
      </c>
      <c r="K200" s="4">
        <v>2422793592</v>
      </c>
      <c r="L200" s="4">
        <v>3910983691</v>
      </c>
      <c r="M200" s="6">
        <f>Table2[[#This Row],[2025]]/SUM(Table2[2025])</f>
        <v>2.4623533053980698E-4</v>
      </c>
      <c r="N200" s="4"/>
      <c r="O200" s="1" t="s">
        <v>191</v>
      </c>
      <c r="P200" s="4">
        <v>1898245346</v>
      </c>
      <c r="Q200" s="4">
        <v>-1383286225</v>
      </c>
      <c r="R200" s="4">
        <v>357788807</v>
      </c>
      <c r="S200" s="4">
        <v>-587872264</v>
      </c>
      <c r="T200" s="4">
        <v>-666387653</v>
      </c>
      <c r="U200" s="4">
        <v>-198151675</v>
      </c>
      <c r="V200" s="4">
        <v>222999293</v>
      </c>
      <c r="W200" s="4">
        <v>-574313189</v>
      </c>
      <c r="X200" s="4">
        <v>-454425166</v>
      </c>
      <c r="Y200" s="4">
        <v>-626051603</v>
      </c>
      <c r="Z200" s="4">
        <v>-307438587</v>
      </c>
    </row>
    <row r="201" spans="1:26" s="1" customFormat="1" ht="12.5" x14ac:dyDescent="0.25">
      <c r="A201" s="1" t="s">
        <v>102</v>
      </c>
      <c r="B201" s="4">
        <v>688641293</v>
      </c>
      <c r="C201" s="4">
        <v>1361085054</v>
      </c>
      <c r="D201" s="4">
        <v>1433056978</v>
      </c>
      <c r="E201" s="4">
        <v>1226822328</v>
      </c>
      <c r="F201" s="4">
        <v>1710826540</v>
      </c>
      <c r="G201" s="4">
        <v>1935609392</v>
      </c>
      <c r="H201" s="4">
        <v>2423565672</v>
      </c>
      <c r="I201" s="4">
        <v>2518068638</v>
      </c>
      <c r="J201" s="4">
        <v>3164666345</v>
      </c>
      <c r="K201" s="4">
        <v>3640595086</v>
      </c>
      <c r="L201" s="4">
        <v>3892220893</v>
      </c>
      <c r="M201" s="6">
        <f>Table2[[#This Row],[2025]]/SUM(Table2[2025])</f>
        <v>2.4505402574991146E-4</v>
      </c>
      <c r="N201" s="4"/>
      <c r="O201" s="1" t="s">
        <v>192</v>
      </c>
      <c r="P201" s="4">
        <v>-1142486754</v>
      </c>
      <c r="Q201" s="4">
        <v>103564263</v>
      </c>
      <c r="R201" s="4">
        <v>-407846802</v>
      </c>
      <c r="S201" s="4">
        <v>-1343748392</v>
      </c>
      <c r="T201" s="4">
        <v>160269766</v>
      </c>
      <c r="U201" s="4">
        <v>196807385</v>
      </c>
      <c r="V201" s="4">
        <v>350178149</v>
      </c>
      <c r="W201" s="4">
        <v>761472327</v>
      </c>
      <c r="X201" s="4">
        <v>3134870916</v>
      </c>
      <c r="Y201" s="4">
        <v>2732581009</v>
      </c>
      <c r="Z201" s="4">
        <v>1613942949</v>
      </c>
    </row>
    <row r="202" spans="1:26" s="1" customFormat="1" ht="12.5" x14ac:dyDescent="0.25">
      <c r="A202" s="1" t="s">
        <v>121</v>
      </c>
      <c r="B202" s="4">
        <v>1033909929</v>
      </c>
      <c r="C202" s="4">
        <v>1126334133</v>
      </c>
      <c r="D202" s="4">
        <v>1390536218</v>
      </c>
      <c r="E202" s="4">
        <v>1339115415</v>
      </c>
      <c r="F202" s="4">
        <v>1457633856</v>
      </c>
      <c r="G202" s="4">
        <v>1711854537</v>
      </c>
      <c r="H202" s="4">
        <v>2012979765</v>
      </c>
      <c r="I202" s="4">
        <v>2270886428</v>
      </c>
      <c r="J202" s="4">
        <v>2358695995</v>
      </c>
      <c r="K202" s="4">
        <v>2945075815</v>
      </c>
      <c r="L202" s="4">
        <v>3869639509</v>
      </c>
      <c r="M202" s="6">
        <f>Table2[[#This Row],[2025]]/SUM(Table2[2025])</f>
        <v>2.4363230298331395E-4</v>
      </c>
      <c r="N202" s="4"/>
      <c r="O202" s="1" t="s">
        <v>193</v>
      </c>
      <c r="P202" s="4">
        <v>1574133763</v>
      </c>
      <c r="Q202" s="4">
        <v>2010609043</v>
      </c>
      <c r="R202" s="4">
        <v>2505202633</v>
      </c>
      <c r="S202" s="4">
        <v>952234471</v>
      </c>
      <c r="T202" s="4">
        <v>1845905187</v>
      </c>
      <c r="U202" s="4">
        <v>5710014739</v>
      </c>
      <c r="V202" s="4">
        <v>6842965776</v>
      </c>
      <c r="W202" s="4">
        <v>6783240620</v>
      </c>
      <c r="X202" s="4">
        <v>9465586634</v>
      </c>
      <c r="Y202" s="4">
        <v>8625082603</v>
      </c>
      <c r="Z202" s="4">
        <v>9310552800</v>
      </c>
    </row>
    <row r="203" spans="1:26" s="1" customFormat="1" ht="12.5" x14ac:dyDescent="0.25">
      <c r="A203" s="1" t="s">
        <v>18</v>
      </c>
      <c r="B203" s="4">
        <v>943830</v>
      </c>
      <c r="C203" s="4">
        <v>24247616</v>
      </c>
      <c r="D203" s="4">
        <v>71866061</v>
      </c>
      <c r="E203" s="4">
        <v>255002651</v>
      </c>
      <c r="F203" s="4">
        <v>2768362733</v>
      </c>
      <c r="G203" s="4">
        <v>2939134913</v>
      </c>
      <c r="H203" s="4">
        <v>3473516500</v>
      </c>
      <c r="I203" s="4">
        <v>3831631634</v>
      </c>
      <c r="J203" s="4">
        <v>4103484739</v>
      </c>
      <c r="K203" s="4">
        <v>4333488017</v>
      </c>
      <c r="L203" s="4">
        <v>3834560327</v>
      </c>
      <c r="M203" s="6">
        <f>Table2[[#This Row],[2025]]/SUM(Table2[2025])</f>
        <v>2.414237195022032E-4</v>
      </c>
      <c r="N203" s="4"/>
      <c r="O203" s="1" t="s">
        <v>194</v>
      </c>
      <c r="P203" s="4">
        <v>-250249347</v>
      </c>
      <c r="Q203" s="4">
        <v>1438942504</v>
      </c>
      <c r="R203" s="4">
        <v>1597537674</v>
      </c>
      <c r="S203" s="4">
        <v>5583302401</v>
      </c>
      <c r="T203" s="4">
        <v>5163703781</v>
      </c>
      <c r="U203" s="4">
        <v>6998378046</v>
      </c>
      <c r="V203" s="4">
        <v>5132591075</v>
      </c>
      <c r="W203" s="4">
        <v>-4324285421</v>
      </c>
      <c r="X203" s="4">
        <v>2900925804</v>
      </c>
      <c r="Y203" s="4">
        <v>-11032023091</v>
      </c>
      <c r="Z203" s="4">
        <v>-13842357797</v>
      </c>
    </row>
    <row r="204" spans="1:26" s="1" customFormat="1" ht="12.5" x14ac:dyDescent="0.25">
      <c r="A204" s="1" t="s">
        <v>104</v>
      </c>
      <c r="B204" s="4">
        <v>704078157</v>
      </c>
      <c r="C204" s="4">
        <v>793966509</v>
      </c>
      <c r="D204" s="4">
        <v>1144822165</v>
      </c>
      <c r="E204" s="4">
        <v>730897272</v>
      </c>
      <c r="F204" s="4">
        <v>531517589</v>
      </c>
      <c r="G204" s="4">
        <v>613047002</v>
      </c>
      <c r="H204" s="4">
        <v>915376967</v>
      </c>
      <c r="I204" s="4">
        <v>1230146874</v>
      </c>
      <c r="J204" s="4">
        <v>2131637267</v>
      </c>
      <c r="K204" s="4">
        <v>2963465931</v>
      </c>
      <c r="L204" s="4">
        <v>3819107456</v>
      </c>
      <c r="M204" s="6">
        <f>Table2[[#This Row],[2025]]/SUM(Table2[2025])</f>
        <v>2.4045080754472555E-4</v>
      </c>
      <c r="N204" s="4"/>
      <c r="O204" s="1" t="s">
        <v>195</v>
      </c>
      <c r="P204" s="4">
        <v>2220620680</v>
      </c>
      <c r="Q204" s="4">
        <v>842650580</v>
      </c>
      <c r="R204" s="4">
        <v>2221705965</v>
      </c>
      <c r="S204" s="4">
        <v>6145847836</v>
      </c>
      <c r="T204" s="4">
        <v>4944874846</v>
      </c>
      <c r="U204" s="4">
        <v>2872590904</v>
      </c>
      <c r="V204" s="4">
        <v>7219220952</v>
      </c>
      <c r="W204" s="4">
        <v>4215800122</v>
      </c>
      <c r="X204" s="4">
        <v>871505685</v>
      </c>
      <c r="Y204" s="4">
        <v>6216902453</v>
      </c>
      <c r="Z204" s="4">
        <v>6736109293</v>
      </c>
    </row>
    <row r="205" spans="1:26" s="1" customFormat="1" ht="12.5" x14ac:dyDescent="0.25">
      <c r="A205" s="1" t="s">
        <v>150</v>
      </c>
      <c r="B205" s="4">
        <v>1694696924</v>
      </c>
      <c r="C205" s="4">
        <v>1649955004</v>
      </c>
      <c r="D205" s="4">
        <v>1564317615</v>
      </c>
      <c r="E205" s="4">
        <v>1497202217</v>
      </c>
      <c r="F205" s="4">
        <v>1411165851</v>
      </c>
      <c r="G205" s="4">
        <v>1504436115</v>
      </c>
      <c r="H205" s="4">
        <v>3050656473</v>
      </c>
      <c r="I205" s="4">
        <v>2770606937</v>
      </c>
      <c r="J205" s="4">
        <v>2902611512</v>
      </c>
      <c r="K205" s="4">
        <v>3263235199</v>
      </c>
      <c r="L205" s="4">
        <v>3758847724</v>
      </c>
      <c r="M205" s="6">
        <f>Table2[[#This Row],[2025]]/SUM(Table2[2025])</f>
        <v>2.3665685794033173E-4</v>
      </c>
      <c r="N205" s="4"/>
      <c r="O205" s="1" t="s">
        <v>196</v>
      </c>
      <c r="P205" s="4">
        <v>2176914852</v>
      </c>
      <c r="Q205" s="4">
        <v>3061432410</v>
      </c>
      <c r="R205" s="4">
        <v>1670824234</v>
      </c>
      <c r="S205" s="4">
        <v>1149649092</v>
      </c>
      <c r="T205" s="4">
        <v>2480716045</v>
      </c>
      <c r="U205" s="4">
        <v>4946348369</v>
      </c>
      <c r="V205" s="4">
        <v>4511117598</v>
      </c>
      <c r="W205" s="4">
        <v>782734507</v>
      </c>
      <c r="X205" s="4">
        <v>2164977683</v>
      </c>
      <c r="Y205" s="4">
        <v>-4683479568</v>
      </c>
      <c r="Z205" s="4">
        <v>-9433416952</v>
      </c>
    </row>
    <row r="206" spans="1:26" s="1" customFormat="1" ht="12.5" x14ac:dyDescent="0.25">
      <c r="A206" s="1" t="s">
        <v>230</v>
      </c>
      <c r="B206" s="4">
        <v>12009805264</v>
      </c>
      <c r="C206" s="4">
        <v>9908686417</v>
      </c>
      <c r="D206" s="4">
        <v>7103455353</v>
      </c>
      <c r="E206" s="4">
        <v>6319765329</v>
      </c>
      <c r="F206" s="4">
        <v>3991734761</v>
      </c>
      <c r="G206" s="4">
        <v>4480837029</v>
      </c>
      <c r="H206" s="4">
        <v>3611149770</v>
      </c>
      <c r="I206" s="4">
        <v>3465222969</v>
      </c>
      <c r="J206" s="4">
        <v>4040693750</v>
      </c>
      <c r="K206" s="4">
        <v>4379204376</v>
      </c>
      <c r="L206" s="4">
        <v>3665915895</v>
      </c>
      <c r="M206" s="6">
        <f>Table2[[#This Row],[2025]]/SUM(Table2[2025])</f>
        <v>2.3080587480170533E-4</v>
      </c>
      <c r="N206" s="4"/>
      <c r="O206" s="1" t="s">
        <v>197</v>
      </c>
      <c r="P206" s="4">
        <v>491648112</v>
      </c>
      <c r="Q206" s="4">
        <v>-4297261</v>
      </c>
      <c r="R206" s="4">
        <v>-188994879</v>
      </c>
      <c r="S206" s="4">
        <v>-11682811</v>
      </c>
      <c r="T206" s="4">
        <v>-473092481</v>
      </c>
      <c r="U206" s="4">
        <v>-288017622</v>
      </c>
      <c r="V206" s="4">
        <v>135365234</v>
      </c>
      <c r="W206" s="4">
        <v>-365133559</v>
      </c>
      <c r="X206" s="4">
        <v>260386516</v>
      </c>
      <c r="Y206" s="4">
        <v>533025364</v>
      </c>
      <c r="Z206" s="4">
        <v>176989012</v>
      </c>
    </row>
    <row r="207" spans="1:26" s="1" customFormat="1" ht="12.5" x14ac:dyDescent="0.25">
      <c r="A207" s="1" t="s">
        <v>345</v>
      </c>
      <c r="B207" s="1" t="s">
        <v>21</v>
      </c>
      <c r="C207" s="1" t="s">
        <v>21</v>
      </c>
      <c r="D207" s="1" t="s">
        <v>21</v>
      </c>
      <c r="E207" s="4">
        <v>875100871</v>
      </c>
      <c r="F207" s="4">
        <v>1522998330</v>
      </c>
      <c r="G207" s="4">
        <v>1640045196</v>
      </c>
      <c r="H207" s="4">
        <v>2149231957</v>
      </c>
      <c r="I207" s="4">
        <v>2252568535</v>
      </c>
      <c r="J207" s="4">
        <v>2532840189</v>
      </c>
      <c r="K207" s="4">
        <v>3001364257</v>
      </c>
      <c r="L207" s="4">
        <v>3661298893</v>
      </c>
      <c r="M207" s="6">
        <f>Table2[[#This Row],[2025]]/SUM(Table2[2025])</f>
        <v>2.3051518859501285E-4</v>
      </c>
      <c r="N207" s="4"/>
      <c r="O207" s="1" t="s">
        <v>198</v>
      </c>
      <c r="P207" s="4">
        <v>1496927607</v>
      </c>
      <c r="Q207" s="4">
        <v>-887877776</v>
      </c>
      <c r="R207" s="4">
        <v>-309506851</v>
      </c>
      <c r="S207" s="4">
        <v>204748850</v>
      </c>
      <c r="T207" s="4">
        <v>-313617050</v>
      </c>
      <c r="U207" s="4">
        <v>-694214570</v>
      </c>
      <c r="V207" s="4">
        <v>228545535</v>
      </c>
      <c r="W207" s="4">
        <v>203275897</v>
      </c>
      <c r="X207" s="4">
        <v>197260018</v>
      </c>
      <c r="Y207" s="4">
        <v>-1027637940</v>
      </c>
      <c r="Z207" s="4">
        <v>92945871</v>
      </c>
    </row>
    <row r="208" spans="1:26" s="1" customFormat="1" ht="12.5" x14ac:dyDescent="0.25">
      <c r="A208" s="1" t="s">
        <v>151</v>
      </c>
      <c r="B208" s="4">
        <v>1701525630</v>
      </c>
      <c r="C208" s="4">
        <v>1679232779</v>
      </c>
      <c r="D208" s="4">
        <v>1783249564</v>
      </c>
      <c r="E208" s="4">
        <v>1908149387</v>
      </c>
      <c r="F208" s="4">
        <v>2548419502</v>
      </c>
      <c r="G208" s="4">
        <v>2888159102</v>
      </c>
      <c r="H208" s="4">
        <v>3496319340</v>
      </c>
      <c r="I208" s="4">
        <v>3002473105</v>
      </c>
      <c r="J208" s="4">
        <v>3290568916</v>
      </c>
      <c r="K208" s="4">
        <v>3490605975</v>
      </c>
      <c r="L208" s="4">
        <v>3579079350</v>
      </c>
      <c r="M208" s="6">
        <f>Table2[[#This Row],[2025]]/SUM(Table2[2025])</f>
        <v>2.25338650427895E-4</v>
      </c>
      <c r="N208" s="4"/>
      <c r="O208" s="1" t="s">
        <v>199</v>
      </c>
      <c r="P208" s="4">
        <v>274177164</v>
      </c>
      <c r="Q208" s="4">
        <v>-21387662</v>
      </c>
      <c r="R208" s="4">
        <v>-796117493</v>
      </c>
      <c r="S208" s="4">
        <v>2193237221</v>
      </c>
      <c r="T208" s="4">
        <v>1240011226</v>
      </c>
      <c r="U208" s="4">
        <v>2597183900</v>
      </c>
      <c r="V208" s="4">
        <v>-4175410058</v>
      </c>
      <c r="W208" s="4">
        <v>-2743273585</v>
      </c>
      <c r="X208" s="4">
        <v>4195910489</v>
      </c>
      <c r="Y208" s="4">
        <v>1063963266</v>
      </c>
      <c r="Z208" s="4">
        <v>887611415</v>
      </c>
    </row>
    <row r="209" spans="1:26" s="1" customFormat="1" ht="12.5" x14ac:dyDescent="0.25">
      <c r="A209" s="1" t="s">
        <v>130</v>
      </c>
      <c r="B209" s="4">
        <v>1251276919</v>
      </c>
      <c r="C209" s="4">
        <v>646472510</v>
      </c>
      <c r="D209" s="4">
        <v>630141851</v>
      </c>
      <c r="E209" s="4">
        <v>658897473</v>
      </c>
      <c r="F209" s="4">
        <v>485542959</v>
      </c>
      <c r="G209" s="4">
        <v>677179973</v>
      </c>
      <c r="H209" s="4">
        <v>1373153169</v>
      </c>
      <c r="I209" s="4">
        <v>2299920272</v>
      </c>
      <c r="J209" s="4">
        <v>2763656997</v>
      </c>
      <c r="K209" s="4">
        <v>2504342069</v>
      </c>
      <c r="L209" s="4">
        <v>3470393542</v>
      </c>
      <c r="M209" s="6">
        <f>Table2[[#This Row],[2025]]/SUM(Table2[2025])</f>
        <v>2.1849579758771273E-4</v>
      </c>
      <c r="N209" s="4"/>
      <c r="O209" s="1" t="s">
        <v>200</v>
      </c>
      <c r="P209" s="4">
        <v>548471973</v>
      </c>
      <c r="Q209" s="4">
        <v>243917455</v>
      </c>
      <c r="R209" s="4">
        <v>716418598</v>
      </c>
      <c r="S209" s="4">
        <v>245260014</v>
      </c>
      <c r="T209" s="4">
        <v>-2179603204</v>
      </c>
      <c r="U209" s="4">
        <v>418082194</v>
      </c>
      <c r="V209" s="4">
        <v>-552981552</v>
      </c>
      <c r="W209" s="4">
        <v>-85555625</v>
      </c>
      <c r="X209" s="4">
        <v>23026451</v>
      </c>
      <c r="Y209" s="4">
        <v>-694417515</v>
      </c>
      <c r="Z209" s="4">
        <v>-281847175</v>
      </c>
    </row>
    <row r="210" spans="1:26" s="1" customFormat="1" ht="12.5" x14ac:dyDescent="0.25">
      <c r="A210" s="1" t="s">
        <v>139</v>
      </c>
      <c r="B210" s="4">
        <v>1375078655</v>
      </c>
      <c r="C210" s="4">
        <v>1452024527</v>
      </c>
      <c r="D210" s="4">
        <v>1563453567</v>
      </c>
      <c r="E210" s="4">
        <v>1510120090</v>
      </c>
      <c r="F210" s="4">
        <v>1650859024</v>
      </c>
      <c r="G210" s="4">
        <v>1686642223</v>
      </c>
      <c r="H210" s="4">
        <v>2296555974</v>
      </c>
      <c r="I210" s="4">
        <v>2405326290</v>
      </c>
      <c r="J210" s="4">
        <v>2577822379</v>
      </c>
      <c r="K210" s="4">
        <v>2900380003</v>
      </c>
      <c r="L210" s="4">
        <v>3417973292</v>
      </c>
      <c r="M210" s="6">
        <f>Table2[[#This Row],[2025]]/SUM(Table2[2025])</f>
        <v>2.1519542136384028E-4</v>
      </c>
      <c r="N210" s="4"/>
      <c r="O210" s="1" t="s">
        <v>201</v>
      </c>
      <c r="P210" s="4">
        <v>-381310565</v>
      </c>
      <c r="Q210" s="4">
        <v>120960670</v>
      </c>
      <c r="R210" s="4">
        <v>179302869</v>
      </c>
      <c r="S210" s="4">
        <v>6159453</v>
      </c>
      <c r="T210" s="4">
        <v>-315015170</v>
      </c>
      <c r="U210" s="4">
        <v>-205236013</v>
      </c>
      <c r="V210" s="4">
        <v>566693587</v>
      </c>
      <c r="W210" s="4">
        <v>-503909934</v>
      </c>
      <c r="X210" s="4">
        <v>-506013761</v>
      </c>
      <c r="Y210" s="4">
        <v>-68022468</v>
      </c>
      <c r="Z210" s="4">
        <v>-5835056189</v>
      </c>
    </row>
    <row r="211" spans="1:26" s="1" customFormat="1" ht="12.5" x14ac:dyDescent="0.25">
      <c r="A211" s="1" t="s">
        <v>331</v>
      </c>
      <c r="B211" s="1" t="s">
        <v>21</v>
      </c>
      <c r="C211" s="1" t="s">
        <v>21</v>
      </c>
      <c r="D211" s="4">
        <v>1956204808</v>
      </c>
      <c r="E211" s="4">
        <v>1880527795</v>
      </c>
      <c r="F211" s="4">
        <v>1949198879</v>
      </c>
      <c r="G211" s="4">
        <v>1880479837</v>
      </c>
      <c r="H211" s="4">
        <v>2172277485</v>
      </c>
      <c r="I211" s="4">
        <v>2516905450</v>
      </c>
      <c r="J211" s="4">
        <v>2746241596</v>
      </c>
      <c r="K211" s="4">
        <v>2874205224</v>
      </c>
      <c r="L211" s="4">
        <v>3379299399</v>
      </c>
      <c r="M211" s="6">
        <f>Table2[[#This Row],[2025]]/SUM(Table2[2025])</f>
        <v>2.1276051506442759E-4</v>
      </c>
      <c r="N211" s="4"/>
      <c r="O211" s="1" t="s">
        <v>202</v>
      </c>
      <c r="P211" s="4">
        <v>1403297593</v>
      </c>
      <c r="Q211" s="4">
        <v>-383321362</v>
      </c>
      <c r="R211" s="4">
        <v>228318949</v>
      </c>
      <c r="S211" s="4">
        <v>-453416280</v>
      </c>
      <c r="T211" s="4">
        <v>-127318128</v>
      </c>
      <c r="U211" s="4">
        <v>-30755773</v>
      </c>
      <c r="V211" s="4">
        <v>495543750</v>
      </c>
      <c r="W211" s="4">
        <v>1583124844</v>
      </c>
      <c r="X211" s="4">
        <v>269680370</v>
      </c>
      <c r="Y211" s="4">
        <v>1620803111</v>
      </c>
      <c r="Z211" s="4">
        <v>22872264310</v>
      </c>
    </row>
    <row r="212" spans="1:26" s="1" customFormat="1" ht="12.5" x14ac:dyDescent="0.25">
      <c r="A212" s="1" t="s">
        <v>119</v>
      </c>
      <c r="B212" s="4">
        <v>1000679280</v>
      </c>
      <c r="C212" s="4">
        <v>888158928</v>
      </c>
      <c r="D212" s="4">
        <v>1149353907</v>
      </c>
      <c r="E212" s="4">
        <v>1180322935</v>
      </c>
      <c r="F212" s="4">
        <v>1348266694</v>
      </c>
      <c r="G212" s="4">
        <v>1394120470</v>
      </c>
      <c r="H212" s="4">
        <v>1497260171</v>
      </c>
      <c r="I212" s="4">
        <v>1670044553</v>
      </c>
      <c r="J212" s="4">
        <v>2196123209</v>
      </c>
      <c r="K212" s="4">
        <v>2890475603</v>
      </c>
      <c r="L212" s="4">
        <v>3328643611</v>
      </c>
      <c r="M212" s="6">
        <f>Table2[[#This Row],[2025]]/SUM(Table2[2025])</f>
        <v>2.0957122927665048E-4</v>
      </c>
      <c r="N212" s="4"/>
      <c r="O212" s="1" t="s">
        <v>203</v>
      </c>
      <c r="P212" s="4">
        <v>2432961198</v>
      </c>
      <c r="Q212" s="4">
        <v>1635533940</v>
      </c>
      <c r="R212" s="4">
        <v>1060847912</v>
      </c>
      <c r="S212" s="4">
        <v>164141690</v>
      </c>
      <c r="T212" s="4">
        <v>906801063</v>
      </c>
      <c r="U212" s="4">
        <v>2836123309</v>
      </c>
      <c r="V212" s="4">
        <v>6130433228</v>
      </c>
      <c r="W212" s="4">
        <v>1101958782</v>
      </c>
      <c r="X212" s="4">
        <v>1451358968</v>
      </c>
      <c r="Y212" s="4">
        <v>1288191059</v>
      </c>
      <c r="Z212" s="4">
        <v>2737502280</v>
      </c>
    </row>
    <row r="213" spans="1:26" s="1" customFormat="1" ht="12.5" x14ac:dyDescent="0.25">
      <c r="A213" s="1" t="s">
        <v>87</v>
      </c>
      <c r="B213" s="4">
        <v>486958407</v>
      </c>
      <c r="C213" s="4">
        <v>203384243</v>
      </c>
      <c r="D213" s="4">
        <v>221280406</v>
      </c>
      <c r="E213" s="4">
        <v>222799600</v>
      </c>
      <c r="F213" s="4">
        <v>467064201</v>
      </c>
      <c r="G213" s="4">
        <v>692023187</v>
      </c>
      <c r="H213" s="4">
        <v>895943991</v>
      </c>
      <c r="I213" s="4">
        <v>1420846001</v>
      </c>
      <c r="J213" s="4">
        <v>1979618632</v>
      </c>
      <c r="K213" s="4">
        <v>2577283027</v>
      </c>
      <c r="L213" s="4">
        <v>3299824175</v>
      </c>
      <c r="M213" s="6">
        <f>Table2[[#This Row],[2025]]/SUM(Table2[2025])</f>
        <v>2.0775675907935433E-4</v>
      </c>
      <c r="N213" s="4"/>
      <c r="O213" s="1" t="s">
        <v>204</v>
      </c>
      <c r="P213" s="4">
        <v>3610032028</v>
      </c>
      <c r="Q213" s="4">
        <v>2274900315</v>
      </c>
      <c r="R213" s="4">
        <v>1779836278</v>
      </c>
      <c r="S213" s="4">
        <v>1232102794</v>
      </c>
      <c r="T213" s="4">
        <v>1271073455</v>
      </c>
      <c r="U213" s="4">
        <v>1557940370</v>
      </c>
      <c r="V213" s="4">
        <v>3130957376</v>
      </c>
      <c r="W213" s="4">
        <v>6231841034</v>
      </c>
      <c r="X213" s="4">
        <v>1602875211</v>
      </c>
      <c r="Y213" s="4">
        <v>3309928766</v>
      </c>
      <c r="Z213" s="4">
        <v>6490039656</v>
      </c>
    </row>
    <row r="214" spans="1:26" s="1" customFormat="1" ht="12.5" x14ac:dyDescent="0.25">
      <c r="A214" s="1" t="s">
        <v>180</v>
      </c>
      <c r="B214" s="4">
        <v>2871852880</v>
      </c>
      <c r="C214" s="4">
        <v>2823176437</v>
      </c>
      <c r="D214" s="4">
        <v>2856222925</v>
      </c>
      <c r="E214" s="4">
        <v>2572110368</v>
      </c>
      <c r="F214" s="4">
        <v>2868861737</v>
      </c>
      <c r="G214" s="4">
        <v>3209991274</v>
      </c>
      <c r="H214" s="4">
        <v>3838018439</v>
      </c>
      <c r="I214" s="4">
        <v>3202193153</v>
      </c>
      <c r="J214" s="4">
        <v>3573660809</v>
      </c>
      <c r="K214" s="4">
        <v>3621738269</v>
      </c>
      <c r="L214" s="4">
        <v>3289380141</v>
      </c>
      <c r="M214" s="6">
        <f>Table2[[#This Row],[2025]]/SUM(Table2[2025])</f>
        <v>2.0709920323986643E-4</v>
      </c>
      <c r="N214" s="4"/>
      <c r="O214" s="1" t="s">
        <v>205</v>
      </c>
      <c r="P214" s="4">
        <v>-782942099</v>
      </c>
      <c r="Q214" s="4">
        <v>375519553</v>
      </c>
      <c r="R214" s="4">
        <v>117825575</v>
      </c>
      <c r="S214" s="4">
        <v>130837753</v>
      </c>
      <c r="T214" s="4">
        <v>-303122495</v>
      </c>
      <c r="U214" s="4">
        <v>-989736953</v>
      </c>
      <c r="V214" s="4">
        <v>-622861240</v>
      </c>
      <c r="W214" s="4">
        <v>-497049090</v>
      </c>
      <c r="X214" s="4">
        <v>-1235047804</v>
      </c>
      <c r="Y214" s="4">
        <v>-567521869</v>
      </c>
      <c r="Z214" s="4">
        <v>-623697955</v>
      </c>
    </row>
    <row r="215" spans="1:26" s="1" customFormat="1" ht="12.5" x14ac:dyDescent="0.25">
      <c r="A215" s="1" t="s">
        <v>136</v>
      </c>
      <c r="B215" s="4">
        <v>1331100199</v>
      </c>
      <c r="C215" s="4">
        <v>1330866427</v>
      </c>
      <c r="D215" s="4">
        <v>1432600137</v>
      </c>
      <c r="E215" s="4">
        <v>1499746557</v>
      </c>
      <c r="F215" s="4">
        <v>1992093034</v>
      </c>
      <c r="G215" s="4">
        <v>2112201215</v>
      </c>
      <c r="H215" s="4">
        <v>2874687531</v>
      </c>
      <c r="I215" s="4">
        <v>2766862694</v>
      </c>
      <c r="J215" s="4">
        <v>2957076425</v>
      </c>
      <c r="K215" s="4">
        <v>3240189810</v>
      </c>
      <c r="L215" s="4">
        <v>3278899635</v>
      </c>
      <c r="M215" s="6">
        <f>Table2[[#This Row],[2025]]/SUM(Table2[2025])</f>
        <v>2.0643935112514829E-4</v>
      </c>
      <c r="N215" s="4"/>
      <c r="O215" s="1" t="s">
        <v>206</v>
      </c>
      <c r="P215" s="4">
        <v>549472483</v>
      </c>
      <c r="Q215" s="4">
        <v>-694196109</v>
      </c>
      <c r="R215" s="4">
        <v>276947435</v>
      </c>
      <c r="S215" s="4">
        <v>-1346857910</v>
      </c>
      <c r="T215" s="4">
        <v>-272679011</v>
      </c>
      <c r="U215" s="4">
        <v>-414466110</v>
      </c>
      <c r="V215" s="4">
        <v>-226632575</v>
      </c>
      <c r="W215" s="4">
        <v>-484506584</v>
      </c>
      <c r="X215" s="4">
        <v>-648641340</v>
      </c>
      <c r="Y215" s="4">
        <v>-526671404</v>
      </c>
      <c r="Z215" s="4">
        <v>186775847</v>
      </c>
    </row>
    <row r="216" spans="1:26" s="1" customFormat="1" ht="12.5" x14ac:dyDescent="0.25">
      <c r="A216" s="1" t="s">
        <v>374</v>
      </c>
      <c r="B216" s="1" t="s">
        <v>21</v>
      </c>
      <c r="C216" s="1" t="s">
        <v>21</v>
      </c>
      <c r="D216" s="1" t="s">
        <v>21</v>
      </c>
      <c r="E216" s="1" t="s">
        <v>21</v>
      </c>
      <c r="F216" s="4">
        <v>1903553556</v>
      </c>
      <c r="G216" s="4">
        <v>2020311955</v>
      </c>
      <c r="H216" s="4">
        <v>2334110084</v>
      </c>
      <c r="I216" s="4">
        <v>2238817157</v>
      </c>
      <c r="J216" s="4">
        <v>2527256726</v>
      </c>
      <c r="K216" s="4">
        <v>2810830645</v>
      </c>
      <c r="L216" s="4">
        <v>3213339946</v>
      </c>
      <c r="M216" s="6">
        <f>Table2[[#This Row],[2025]]/SUM(Table2[2025])</f>
        <v>2.0231171650264893E-4</v>
      </c>
      <c r="N216" s="4"/>
      <c r="O216" s="1" t="s">
        <v>207</v>
      </c>
      <c r="P216" s="4">
        <v>-36030050</v>
      </c>
      <c r="Q216" s="4">
        <v>-2005330785</v>
      </c>
      <c r="R216" s="4">
        <v>-981324288</v>
      </c>
      <c r="S216" s="4">
        <v>-1062519271</v>
      </c>
      <c r="T216" s="4">
        <v>922468195</v>
      </c>
      <c r="U216" s="4">
        <v>-301637576</v>
      </c>
      <c r="V216" s="4">
        <v>107682606</v>
      </c>
      <c r="W216" s="4">
        <v>3059396886</v>
      </c>
      <c r="X216" s="4">
        <v>-887176859</v>
      </c>
      <c r="Y216" s="4">
        <v>1130287616</v>
      </c>
      <c r="Z216" s="4">
        <v>-229719181</v>
      </c>
    </row>
    <row r="217" spans="1:26" s="1" customFormat="1" ht="12.5" x14ac:dyDescent="0.25">
      <c r="A217" s="1" t="s">
        <v>309</v>
      </c>
      <c r="B217" s="1" t="s">
        <v>21</v>
      </c>
      <c r="C217" s="4">
        <v>1079012171</v>
      </c>
      <c r="D217" s="4">
        <v>1309252085</v>
      </c>
      <c r="E217" s="4">
        <v>1374602046</v>
      </c>
      <c r="F217" s="4">
        <v>1572206203</v>
      </c>
      <c r="G217" s="4">
        <v>1612936558</v>
      </c>
      <c r="H217" s="4">
        <v>1907532248</v>
      </c>
      <c r="I217" s="4">
        <v>1981930182</v>
      </c>
      <c r="J217" s="4">
        <v>2276690440</v>
      </c>
      <c r="K217" s="4">
        <v>2497598524</v>
      </c>
      <c r="L217" s="4">
        <v>3202175911</v>
      </c>
      <c r="M217" s="6">
        <f>Table2[[#This Row],[2025]]/SUM(Table2[2025])</f>
        <v>2.0160882943750751E-4</v>
      </c>
      <c r="N217" s="4"/>
      <c r="O217" s="1" t="s">
        <v>208</v>
      </c>
      <c r="P217" s="4">
        <v>518431309</v>
      </c>
      <c r="Q217" s="4">
        <v>459085661</v>
      </c>
      <c r="R217" s="4">
        <v>5823248168</v>
      </c>
      <c r="S217" s="4">
        <v>2121561558</v>
      </c>
      <c r="T217" s="4">
        <v>812715078</v>
      </c>
      <c r="U217" s="4">
        <v>2512785412</v>
      </c>
      <c r="V217" s="4">
        <v>-246214386</v>
      </c>
      <c r="W217" s="4">
        <v>-1494620451</v>
      </c>
      <c r="X217" s="4">
        <v>1281242312</v>
      </c>
      <c r="Y217" s="4">
        <v>1140683735</v>
      </c>
      <c r="Z217" s="4">
        <v>2912408510</v>
      </c>
    </row>
    <row r="218" spans="1:26" s="1" customFormat="1" ht="12.5" x14ac:dyDescent="0.25">
      <c r="A218" s="1" t="s">
        <v>408</v>
      </c>
      <c r="B218" s="1" t="s">
        <v>21</v>
      </c>
      <c r="C218" s="1" t="s">
        <v>21</v>
      </c>
      <c r="D218" s="1" t="s">
        <v>21</v>
      </c>
      <c r="E218" s="1" t="s">
        <v>21</v>
      </c>
      <c r="F218" s="1" t="s">
        <v>21</v>
      </c>
      <c r="G218" s="1" t="s">
        <v>21</v>
      </c>
      <c r="H218" s="4">
        <v>1143346549</v>
      </c>
      <c r="I218" s="4">
        <v>1538219805</v>
      </c>
      <c r="J218" s="4">
        <v>1941001984</v>
      </c>
      <c r="K218" s="4">
        <v>2720209642</v>
      </c>
      <c r="L218" s="4">
        <v>3172238048</v>
      </c>
      <c r="M218" s="6">
        <f>Table2[[#This Row],[2025]]/SUM(Table2[2025])</f>
        <v>1.9972394313424208E-4</v>
      </c>
      <c r="N218" s="4"/>
      <c r="O218" s="1" t="s">
        <v>209</v>
      </c>
      <c r="P218" s="4">
        <v>116040936</v>
      </c>
      <c r="Q218" s="4">
        <v>929035527</v>
      </c>
      <c r="R218" s="4">
        <v>174021876</v>
      </c>
      <c r="S218" s="4">
        <v>-543508058</v>
      </c>
      <c r="T218" s="4">
        <v>-3229081704</v>
      </c>
      <c r="U218" s="4">
        <v>-977505949</v>
      </c>
      <c r="V218" s="4">
        <v>-215569701</v>
      </c>
      <c r="W218" s="4">
        <v>1705171044</v>
      </c>
      <c r="X218" s="4">
        <v>-2316775000</v>
      </c>
      <c r="Y218" s="4">
        <v>707402944</v>
      </c>
      <c r="Z218" s="4">
        <v>-1006324487</v>
      </c>
    </row>
    <row r="219" spans="1:26" s="1" customFormat="1" ht="12.5" x14ac:dyDescent="0.25">
      <c r="A219" s="1" t="s">
        <v>138</v>
      </c>
      <c r="B219" s="4">
        <v>1374930461</v>
      </c>
      <c r="C219" s="4">
        <v>1444446368</v>
      </c>
      <c r="D219" s="4">
        <v>1500854016</v>
      </c>
      <c r="E219" s="4">
        <v>1493462372</v>
      </c>
      <c r="F219" s="4">
        <v>1591257349</v>
      </c>
      <c r="G219" s="4">
        <v>1835866636</v>
      </c>
      <c r="H219" s="4">
        <v>2259570826</v>
      </c>
      <c r="I219" s="4">
        <v>1956834635</v>
      </c>
      <c r="J219" s="4">
        <v>2636221454</v>
      </c>
      <c r="K219" s="4">
        <v>2939654654</v>
      </c>
      <c r="L219" s="4">
        <v>3170572721</v>
      </c>
      <c r="M219" s="6">
        <f>Table2[[#This Row],[2025]]/SUM(Table2[2025])</f>
        <v>1.9961909423261011E-4</v>
      </c>
      <c r="N219" s="4"/>
      <c r="O219" s="1" t="s">
        <v>210</v>
      </c>
      <c r="P219" s="4">
        <v>716070865</v>
      </c>
      <c r="Q219" s="4">
        <v>1354736158</v>
      </c>
      <c r="R219" s="4">
        <v>1286175046</v>
      </c>
      <c r="S219" s="4">
        <v>1089855703</v>
      </c>
      <c r="T219" s="4">
        <v>1333818805</v>
      </c>
      <c r="U219" s="4">
        <v>-83137645</v>
      </c>
      <c r="V219" s="4">
        <v>-1353156583</v>
      </c>
      <c r="W219" s="4">
        <v>-456598865</v>
      </c>
      <c r="X219" s="4">
        <v>-135663344</v>
      </c>
      <c r="Y219" s="4">
        <v>495751507</v>
      </c>
      <c r="Z219" s="4">
        <v>218180714</v>
      </c>
    </row>
    <row r="220" spans="1:26" s="1" customFormat="1" ht="12.5" x14ac:dyDescent="0.25">
      <c r="A220" s="1" t="s">
        <v>19</v>
      </c>
      <c r="B220" s="4">
        <v>1033987</v>
      </c>
      <c r="C220" s="4">
        <v>1101694</v>
      </c>
      <c r="D220" s="4">
        <v>153233735</v>
      </c>
      <c r="E220" s="4">
        <v>918547192</v>
      </c>
      <c r="F220" s="4">
        <v>2141945373</v>
      </c>
      <c r="G220" s="4">
        <v>1908661353</v>
      </c>
      <c r="H220" s="4">
        <v>1893529698</v>
      </c>
      <c r="I220" s="4">
        <v>1994985246</v>
      </c>
      <c r="J220" s="4">
        <v>2067386455</v>
      </c>
      <c r="K220" s="4">
        <v>2850083353</v>
      </c>
      <c r="L220" s="4">
        <v>3166050336</v>
      </c>
      <c r="M220" s="6">
        <f>Table2[[#This Row],[2025]]/SUM(Table2[2025])</f>
        <v>1.9933436510733508E-4</v>
      </c>
      <c r="N220" s="4"/>
      <c r="O220" s="1" t="s">
        <v>211</v>
      </c>
      <c r="P220" s="4">
        <v>781652397</v>
      </c>
      <c r="Q220" s="4">
        <v>16678477</v>
      </c>
      <c r="R220" s="4">
        <v>-1252167318</v>
      </c>
      <c r="S220" s="4">
        <v>-122864891</v>
      </c>
      <c r="T220" s="4">
        <v>-617347183</v>
      </c>
      <c r="U220" s="4">
        <v>950976860</v>
      </c>
      <c r="V220" s="4">
        <v>1675775818</v>
      </c>
      <c r="W220" s="4">
        <v>1390252617</v>
      </c>
      <c r="X220" s="4">
        <v>1610616095</v>
      </c>
      <c r="Y220" s="4">
        <v>3550517893</v>
      </c>
      <c r="Z220" s="4">
        <v>8620705991</v>
      </c>
    </row>
    <row r="221" spans="1:26" s="1" customFormat="1" ht="12.5" x14ac:dyDescent="0.25">
      <c r="A221" s="1" t="s">
        <v>125</v>
      </c>
      <c r="B221" s="4">
        <v>1173527633</v>
      </c>
      <c r="C221" s="4">
        <v>1350528714</v>
      </c>
      <c r="D221" s="4">
        <v>1464006303</v>
      </c>
      <c r="E221" s="4">
        <v>1538179208</v>
      </c>
      <c r="F221" s="4">
        <v>1757268810</v>
      </c>
      <c r="G221" s="4">
        <v>1936878146</v>
      </c>
      <c r="H221" s="4">
        <v>2282896060</v>
      </c>
      <c r="I221" s="4">
        <v>2262146340</v>
      </c>
      <c r="J221" s="4">
        <v>2633554185</v>
      </c>
      <c r="K221" s="4">
        <v>2909275751</v>
      </c>
      <c r="L221" s="4">
        <v>3122406264</v>
      </c>
      <c r="M221" s="6">
        <f>Table2[[#This Row],[2025]]/SUM(Table2[2025])</f>
        <v>1.9658653659560961E-4</v>
      </c>
      <c r="N221" s="4"/>
      <c r="O221" s="1" t="s">
        <v>212</v>
      </c>
      <c r="P221" s="4">
        <v>278323945</v>
      </c>
      <c r="Q221" s="4">
        <v>49769607</v>
      </c>
      <c r="R221" s="4">
        <v>108949714</v>
      </c>
      <c r="S221" s="4">
        <v>13367395</v>
      </c>
      <c r="T221" s="4">
        <v>-181500505</v>
      </c>
      <c r="U221" s="4">
        <v>-77085649</v>
      </c>
      <c r="V221" s="4">
        <v>322861719</v>
      </c>
      <c r="W221" s="4">
        <v>198463510</v>
      </c>
      <c r="X221" s="4">
        <v>118452264</v>
      </c>
      <c r="Y221" s="4">
        <v>50069490</v>
      </c>
      <c r="Z221" s="4">
        <v>393479688</v>
      </c>
    </row>
    <row r="222" spans="1:26" s="1" customFormat="1" ht="12.5" x14ac:dyDescent="0.25">
      <c r="A222" s="1" t="s">
        <v>98</v>
      </c>
      <c r="B222" s="4">
        <v>634393867</v>
      </c>
      <c r="C222" s="4">
        <v>606086831</v>
      </c>
      <c r="D222" s="4">
        <v>796190602</v>
      </c>
      <c r="E222" s="4">
        <v>796110388</v>
      </c>
      <c r="F222" s="4">
        <v>927592818</v>
      </c>
      <c r="G222" s="4">
        <v>1043914818</v>
      </c>
      <c r="H222" s="4">
        <v>2312283559</v>
      </c>
      <c r="I222" s="4">
        <v>2213551811</v>
      </c>
      <c r="J222" s="4">
        <v>2522722260</v>
      </c>
      <c r="K222" s="4">
        <v>2807816265</v>
      </c>
      <c r="L222" s="4">
        <v>3093575229</v>
      </c>
      <c r="M222" s="6">
        <f>Table2[[#This Row],[2025]]/SUM(Table2[2025])</f>
        <v>1.9477133612587444E-4</v>
      </c>
      <c r="N222" s="4"/>
      <c r="O222" s="1" t="s">
        <v>213</v>
      </c>
      <c r="P222" s="4">
        <v>3035928917</v>
      </c>
      <c r="Q222" s="4">
        <v>2064029596</v>
      </c>
      <c r="R222" s="4">
        <v>-331546515</v>
      </c>
      <c r="S222" s="4">
        <v>-1557516711</v>
      </c>
      <c r="T222" s="4">
        <v>376959629</v>
      </c>
      <c r="U222" s="4">
        <v>718051593</v>
      </c>
      <c r="V222" s="4">
        <v>1367545123</v>
      </c>
      <c r="W222" s="4">
        <v>1730410642</v>
      </c>
      <c r="X222" s="4">
        <v>3506404053</v>
      </c>
      <c r="Y222" s="4">
        <v>1143366798</v>
      </c>
      <c r="Z222" s="4">
        <v>1686696199</v>
      </c>
    </row>
    <row r="223" spans="1:26" s="1" customFormat="1" ht="12.5" x14ac:dyDescent="0.25">
      <c r="A223" s="1" t="s">
        <v>365</v>
      </c>
      <c r="B223" s="1" t="s">
        <v>21</v>
      </c>
      <c r="C223" s="1" t="s">
        <v>21</v>
      </c>
      <c r="D223" s="1" t="s">
        <v>21</v>
      </c>
      <c r="E223" s="1" t="s">
        <v>21</v>
      </c>
      <c r="F223" s="1" t="s">
        <v>21</v>
      </c>
      <c r="G223" s="4">
        <v>1343559705</v>
      </c>
      <c r="H223" s="4">
        <v>2008933062</v>
      </c>
      <c r="I223" s="4">
        <v>1920485022</v>
      </c>
      <c r="J223" s="4">
        <v>2526781734</v>
      </c>
      <c r="K223" s="4">
        <v>2923397235</v>
      </c>
      <c r="L223" s="4">
        <v>3053144834</v>
      </c>
      <c r="M223" s="6">
        <f>Table2[[#This Row],[2025]]/SUM(Table2[2025])</f>
        <v>1.92225840551554E-4</v>
      </c>
      <c r="N223" s="4"/>
      <c r="O223" s="1" t="s">
        <v>214</v>
      </c>
      <c r="P223" s="4">
        <v>-847072373</v>
      </c>
      <c r="Q223" s="4">
        <v>-738783464</v>
      </c>
      <c r="R223" s="4">
        <v>1970159482</v>
      </c>
      <c r="S223" s="4">
        <v>252475618</v>
      </c>
      <c r="T223" s="4">
        <v>4372349877</v>
      </c>
      <c r="U223" s="4">
        <v>2418007011</v>
      </c>
      <c r="V223" s="4">
        <v>1216667885</v>
      </c>
      <c r="W223" s="4">
        <v>-560148457</v>
      </c>
      <c r="X223" s="4">
        <v>282381059</v>
      </c>
      <c r="Y223" s="4">
        <v>1184379268</v>
      </c>
      <c r="Z223" s="4">
        <v>3661943036</v>
      </c>
    </row>
    <row r="224" spans="1:26" s="1" customFormat="1" ht="12.5" x14ac:dyDescent="0.25">
      <c r="A224" s="1" t="s">
        <v>382</v>
      </c>
      <c r="B224" s="1" t="s">
        <v>21</v>
      </c>
      <c r="C224" s="1" t="s">
        <v>21</v>
      </c>
      <c r="D224" s="1" t="s">
        <v>21</v>
      </c>
      <c r="E224" s="1" t="s">
        <v>21</v>
      </c>
      <c r="F224" s="4">
        <v>794513492</v>
      </c>
      <c r="G224" s="4">
        <v>919661934</v>
      </c>
      <c r="H224" s="4">
        <v>1644201696</v>
      </c>
      <c r="I224" s="4">
        <v>1761868241</v>
      </c>
      <c r="J224" s="4">
        <v>2037723700</v>
      </c>
      <c r="K224" s="4">
        <v>2578147143</v>
      </c>
      <c r="L224" s="4">
        <v>3030759137</v>
      </c>
      <c r="M224" s="6">
        <f>Table2[[#This Row],[2025]]/SUM(Table2[2025])</f>
        <v>1.9081643822833707E-4</v>
      </c>
      <c r="N224" s="4"/>
      <c r="O224" s="1" t="s">
        <v>215</v>
      </c>
      <c r="P224" s="4">
        <v>3893761888</v>
      </c>
      <c r="Q224" s="4">
        <v>2407979708</v>
      </c>
      <c r="R224" s="4">
        <v>-804103067</v>
      </c>
      <c r="S224" s="4">
        <v>-2338548439</v>
      </c>
      <c r="T224" s="4">
        <v>-478610651</v>
      </c>
      <c r="U224" s="4">
        <v>2086616779</v>
      </c>
      <c r="V224" s="4">
        <v>226539893</v>
      </c>
      <c r="W224" s="4">
        <v>-966139014</v>
      </c>
      <c r="X224" s="4">
        <v>-544830958</v>
      </c>
      <c r="Y224" s="4">
        <v>-2235075185</v>
      </c>
      <c r="Z224" s="4">
        <v>-4173186245</v>
      </c>
    </row>
    <row r="225" spans="1:26" s="1" customFormat="1" ht="12.5" x14ac:dyDescent="0.25">
      <c r="A225" s="1" t="s">
        <v>215</v>
      </c>
      <c r="B225" s="4">
        <v>6921214945</v>
      </c>
      <c r="C225" s="4">
        <v>8790220077</v>
      </c>
      <c r="D225" s="4">
        <v>8390978374</v>
      </c>
      <c r="E225" s="4">
        <v>5969634225</v>
      </c>
      <c r="F225" s="4">
        <v>6249951163</v>
      </c>
      <c r="G225" s="4">
        <v>8964841649</v>
      </c>
      <c r="H225" s="4">
        <v>9026989905</v>
      </c>
      <c r="I225" s="4">
        <v>8566775958</v>
      </c>
      <c r="J225" s="4">
        <v>8727895689</v>
      </c>
      <c r="K225" s="4">
        <v>7172002095</v>
      </c>
      <c r="L225" s="4">
        <v>3005230534</v>
      </c>
      <c r="M225" s="6">
        <f>Table2[[#This Row],[2025]]/SUM(Table2[2025])</f>
        <v>1.8920915870620814E-4</v>
      </c>
      <c r="N225" s="4"/>
      <c r="O225" s="1" t="s">
        <v>216</v>
      </c>
      <c r="P225" s="4">
        <v>-511280302</v>
      </c>
      <c r="Q225" s="4">
        <v>-779116228</v>
      </c>
      <c r="R225" s="4">
        <v>361638975</v>
      </c>
      <c r="S225" s="4">
        <v>-41833009</v>
      </c>
      <c r="T225" s="4">
        <v>-857148049</v>
      </c>
      <c r="U225" s="4">
        <v>-3470813641</v>
      </c>
      <c r="V225" s="4">
        <v>144060583</v>
      </c>
      <c r="W225" s="4">
        <v>-560652649</v>
      </c>
      <c r="X225" s="4">
        <v>-285907894</v>
      </c>
      <c r="Y225" s="4">
        <v>-307506730</v>
      </c>
      <c r="Z225" s="4">
        <v>-285542491</v>
      </c>
    </row>
    <row r="226" spans="1:26" s="1" customFormat="1" ht="12.5" x14ac:dyDescent="0.25">
      <c r="A226" s="1" t="s">
        <v>337</v>
      </c>
      <c r="B226" s="1" t="s">
        <v>21</v>
      </c>
      <c r="C226" s="1" t="s">
        <v>21</v>
      </c>
      <c r="D226" s="4">
        <v>547228799</v>
      </c>
      <c r="E226" s="4">
        <v>1398975282</v>
      </c>
      <c r="F226" s="4">
        <v>1721317875</v>
      </c>
      <c r="G226" s="4">
        <v>2598678370</v>
      </c>
      <c r="H226" s="4">
        <v>3317153027</v>
      </c>
      <c r="I226" s="4">
        <v>3620324302</v>
      </c>
      <c r="J226" s="4">
        <v>4103943929</v>
      </c>
      <c r="K226" s="4">
        <v>3434965746</v>
      </c>
      <c r="L226" s="4">
        <v>2977333911</v>
      </c>
      <c r="M226" s="6">
        <f>Table2[[#This Row],[2025]]/SUM(Table2[2025])</f>
        <v>1.8745278876757692E-4</v>
      </c>
      <c r="N226" s="4"/>
      <c r="O226" s="1" t="s">
        <v>217</v>
      </c>
      <c r="P226" s="4">
        <v>2460940360</v>
      </c>
      <c r="Q226" s="4">
        <v>-1379405000</v>
      </c>
      <c r="R226" s="4">
        <v>-650619517</v>
      </c>
      <c r="S226" s="4">
        <v>794986386</v>
      </c>
      <c r="T226" s="4">
        <v>-1690233712</v>
      </c>
      <c r="U226" s="4">
        <v>1871856888</v>
      </c>
      <c r="V226" s="4">
        <v>1794547496</v>
      </c>
      <c r="W226" s="4">
        <v>5050934132</v>
      </c>
      <c r="X226" s="4">
        <v>3054323480</v>
      </c>
      <c r="Y226" s="4">
        <v>17206081</v>
      </c>
      <c r="Z226" s="4">
        <v>5567846880</v>
      </c>
    </row>
    <row r="227" spans="1:26" s="1" customFormat="1" ht="12.5" x14ac:dyDescent="0.25">
      <c r="A227" s="1" t="s">
        <v>23</v>
      </c>
      <c r="B227" s="4">
        <v>12132691</v>
      </c>
      <c r="C227" s="4">
        <v>52560608</v>
      </c>
      <c r="D227" s="4">
        <v>63611989</v>
      </c>
      <c r="E227" s="4">
        <v>139077554</v>
      </c>
      <c r="F227" s="4">
        <v>454685304</v>
      </c>
      <c r="G227" s="4">
        <v>587648139</v>
      </c>
      <c r="H227" s="4">
        <v>1212843679</v>
      </c>
      <c r="I227" s="4">
        <v>1155668835</v>
      </c>
      <c r="J227" s="4">
        <v>1520119618</v>
      </c>
      <c r="K227" s="4">
        <v>2706874231</v>
      </c>
      <c r="L227" s="4">
        <v>2969907103</v>
      </c>
      <c r="M227" s="6">
        <f>Table2[[#This Row],[2025]]/SUM(Table2[2025])</f>
        <v>1.8698519732071305E-4</v>
      </c>
      <c r="N227" s="4"/>
      <c r="O227" s="1" t="s">
        <v>218</v>
      </c>
      <c r="P227" s="4">
        <v>-274727292</v>
      </c>
      <c r="Q227" s="4">
        <v>-3485110923</v>
      </c>
      <c r="R227" s="4">
        <v>-504582210</v>
      </c>
      <c r="S227" s="4">
        <v>-1207705352</v>
      </c>
      <c r="T227" s="4">
        <v>-520918370</v>
      </c>
      <c r="U227" s="4">
        <v>-504653506</v>
      </c>
      <c r="V227" s="4">
        <v>64328174</v>
      </c>
      <c r="W227" s="4">
        <v>940685618</v>
      </c>
      <c r="X227" s="4">
        <v>5708031847</v>
      </c>
      <c r="Y227" s="4">
        <v>2781739351</v>
      </c>
      <c r="Z227" s="4">
        <v>-1696693484</v>
      </c>
    </row>
    <row r="228" spans="1:26" s="1" customFormat="1" ht="12.5" x14ac:dyDescent="0.25">
      <c r="A228" s="1" t="s">
        <v>206</v>
      </c>
      <c r="B228" s="4">
        <v>5493024214</v>
      </c>
      <c r="C228" s="4">
        <v>4179869606</v>
      </c>
      <c r="D228" s="4">
        <v>4500497028</v>
      </c>
      <c r="E228" s="4">
        <v>3666678383</v>
      </c>
      <c r="F228" s="4">
        <v>4124260543</v>
      </c>
      <c r="G228" s="4">
        <v>3749785183</v>
      </c>
      <c r="H228" s="4">
        <v>5074532544</v>
      </c>
      <c r="I228" s="4">
        <v>3514057873</v>
      </c>
      <c r="J228" s="4">
        <v>3434683874</v>
      </c>
      <c r="K228" s="4">
        <v>3034408125</v>
      </c>
      <c r="L228" s="4">
        <v>2951221886</v>
      </c>
      <c r="M228" s="6">
        <f>Table2[[#This Row],[2025]]/SUM(Table2[2025])</f>
        <v>1.8580877702655769E-4</v>
      </c>
      <c r="N228" s="4"/>
      <c r="O228" s="1" t="s">
        <v>219</v>
      </c>
      <c r="P228" s="4">
        <v>3481045723</v>
      </c>
      <c r="Q228" s="4">
        <v>789076170</v>
      </c>
      <c r="R228" s="4">
        <v>1680024840</v>
      </c>
      <c r="S228" s="4">
        <v>-799414768</v>
      </c>
      <c r="T228" s="4">
        <v>1138951523</v>
      </c>
      <c r="U228" s="4">
        <v>792277084</v>
      </c>
      <c r="V228" s="4">
        <v>-1036712254</v>
      </c>
      <c r="W228" s="4">
        <v>-2794920805</v>
      </c>
      <c r="X228" s="4">
        <v>-1477643338</v>
      </c>
      <c r="Y228" s="4">
        <v>-2297281724</v>
      </c>
      <c r="Z228" s="4">
        <v>-1199519343</v>
      </c>
    </row>
    <row r="229" spans="1:26" s="1" customFormat="1" ht="12.5" x14ac:dyDescent="0.25">
      <c r="A229" s="1" t="s">
        <v>83</v>
      </c>
      <c r="B229" s="4">
        <v>482072225</v>
      </c>
      <c r="C229" s="4">
        <v>750817683</v>
      </c>
      <c r="D229" s="4">
        <v>1141610384</v>
      </c>
      <c r="E229" s="4">
        <v>1524198061</v>
      </c>
      <c r="F229" s="4">
        <v>1884908888</v>
      </c>
      <c r="G229" s="4">
        <v>2318596168</v>
      </c>
      <c r="H229" s="4">
        <v>3472690067</v>
      </c>
      <c r="I229" s="4">
        <v>3564572176</v>
      </c>
      <c r="J229" s="4">
        <v>3662378921</v>
      </c>
      <c r="K229" s="4">
        <v>3337005935</v>
      </c>
      <c r="L229" s="4">
        <v>2913263646</v>
      </c>
      <c r="M229" s="6">
        <f>Table2[[#This Row],[2025]]/SUM(Table2[2025])</f>
        <v>1.8341892820294384E-4</v>
      </c>
      <c r="N229" s="4"/>
      <c r="O229" s="1" t="s">
        <v>220</v>
      </c>
      <c r="P229" s="4">
        <v>-1676102955</v>
      </c>
      <c r="Q229" s="4">
        <v>-505038813</v>
      </c>
      <c r="R229" s="4">
        <v>-537114691</v>
      </c>
      <c r="S229" s="4">
        <v>-1480151795</v>
      </c>
      <c r="T229" s="4">
        <v>348286483</v>
      </c>
      <c r="U229" s="4">
        <v>-84311872</v>
      </c>
      <c r="V229" s="4">
        <v>-1166885213</v>
      </c>
      <c r="W229" s="4">
        <v>377734422</v>
      </c>
      <c r="X229" s="4">
        <v>-304720195</v>
      </c>
      <c r="Y229" s="4">
        <v>1844545161</v>
      </c>
      <c r="Z229" s="4">
        <v>-758034333</v>
      </c>
    </row>
    <row r="230" spans="1:26" s="1" customFormat="1" ht="12.5" x14ac:dyDescent="0.25">
      <c r="A230" s="1" t="s">
        <v>392</v>
      </c>
      <c r="B230" s="1" t="s">
        <v>21</v>
      </c>
      <c r="C230" s="1" t="s">
        <v>21</v>
      </c>
      <c r="D230" s="1" t="s">
        <v>21</v>
      </c>
      <c r="E230" s="1" t="s">
        <v>21</v>
      </c>
      <c r="F230" s="1" t="s">
        <v>21</v>
      </c>
      <c r="G230" s="4">
        <v>829275376</v>
      </c>
      <c r="H230" s="4">
        <v>1395588814</v>
      </c>
      <c r="I230" s="4">
        <v>1409559368</v>
      </c>
      <c r="J230" s="4">
        <v>1649612214</v>
      </c>
      <c r="K230" s="4">
        <v>2126628549</v>
      </c>
      <c r="L230" s="4">
        <v>2907893156</v>
      </c>
      <c r="M230" s="6">
        <f>Table2[[#This Row],[2025]]/SUM(Table2[2025])</f>
        <v>1.8308080243081295E-4</v>
      </c>
      <c r="N230" s="4"/>
      <c r="O230" s="1" t="s">
        <v>221</v>
      </c>
      <c r="P230" s="4">
        <v>192788953</v>
      </c>
      <c r="Q230" s="4">
        <v>1479919931</v>
      </c>
      <c r="R230" s="4">
        <v>2843164561</v>
      </c>
      <c r="S230" s="4">
        <v>3263951369</v>
      </c>
      <c r="T230" s="4">
        <v>1215408877</v>
      </c>
      <c r="U230" s="4">
        <v>2094046173</v>
      </c>
      <c r="V230" s="4">
        <v>502486195</v>
      </c>
      <c r="W230" s="4">
        <v>-985509658</v>
      </c>
      <c r="X230" s="4">
        <v>871672589</v>
      </c>
      <c r="Y230" s="4">
        <v>-1282938430</v>
      </c>
      <c r="Z230" s="4">
        <v>-2574684097</v>
      </c>
    </row>
    <row r="231" spans="1:26" s="1" customFormat="1" ht="12.5" x14ac:dyDescent="0.25">
      <c r="A231" s="1" t="s">
        <v>298</v>
      </c>
      <c r="B231" s="1" t="s">
        <v>21</v>
      </c>
      <c r="C231" s="4">
        <v>528479779</v>
      </c>
      <c r="D231" s="4">
        <v>701772644</v>
      </c>
      <c r="E231" s="4">
        <v>853032353</v>
      </c>
      <c r="F231" s="4">
        <v>1196666194</v>
      </c>
      <c r="G231" s="4">
        <v>1748552205</v>
      </c>
      <c r="H231" s="4">
        <v>2017810724</v>
      </c>
      <c r="I231" s="4">
        <v>1949112840</v>
      </c>
      <c r="J231" s="4">
        <v>2189342695</v>
      </c>
      <c r="K231" s="4">
        <v>2420978330</v>
      </c>
      <c r="L231" s="4">
        <v>2849364587</v>
      </c>
      <c r="M231" s="6">
        <f>Table2[[#This Row],[2025]]/SUM(Table2[2025])</f>
        <v>1.7939584675919981E-4</v>
      </c>
      <c r="N231" s="4"/>
      <c r="O231" s="1" t="s">
        <v>222</v>
      </c>
      <c r="P231" s="4">
        <v>815302560</v>
      </c>
      <c r="Q231" s="4">
        <v>802095615</v>
      </c>
      <c r="R231" s="4">
        <v>3316758595</v>
      </c>
      <c r="S231" s="4">
        <v>4266808687</v>
      </c>
      <c r="T231" s="4">
        <v>7004678702</v>
      </c>
      <c r="U231" s="4">
        <v>6351037638</v>
      </c>
      <c r="V231" s="4">
        <v>4779245680</v>
      </c>
      <c r="W231" s="4">
        <v>4496837448</v>
      </c>
      <c r="X231" s="4">
        <v>7839487237</v>
      </c>
      <c r="Y231" s="4">
        <v>3166447320</v>
      </c>
      <c r="Z231" s="4">
        <v>13247907704</v>
      </c>
    </row>
    <row r="232" spans="1:26" s="1" customFormat="1" ht="12.5" x14ac:dyDescent="0.25">
      <c r="A232" s="1" t="s">
        <v>423</v>
      </c>
      <c r="B232" s="1" t="s">
        <v>21</v>
      </c>
      <c r="C232" s="1" t="s">
        <v>21</v>
      </c>
      <c r="D232" s="1" t="s">
        <v>21</v>
      </c>
      <c r="E232" s="1" t="s">
        <v>21</v>
      </c>
      <c r="F232" s="1" t="s">
        <v>21</v>
      </c>
      <c r="G232" s="1" t="s">
        <v>21</v>
      </c>
      <c r="H232" s="4">
        <v>1245127480</v>
      </c>
      <c r="I232" s="4">
        <v>1108240764</v>
      </c>
      <c r="J232" s="4">
        <v>1939461209</v>
      </c>
      <c r="K232" s="4">
        <v>2521141207</v>
      </c>
      <c r="L232" s="4">
        <v>2844482100</v>
      </c>
      <c r="M232" s="6">
        <f>Table2[[#This Row],[2025]]/SUM(Table2[2025])</f>
        <v>1.790884456306633E-4</v>
      </c>
      <c r="N232" s="4"/>
      <c r="O232" s="1" t="s">
        <v>223</v>
      </c>
      <c r="P232" s="4">
        <v>-1768811873</v>
      </c>
      <c r="Q232" s="4">
        <v>1408575424</v>
      </c>
      <c r="R232" s="4">
        <v>-1800617173</v>
      </c>
      <c r="S232" s="4">
        <v>-2989489911</v>
      </c>
      <c r="T232" s="4">
        <v>1385016394</v>
      </c>
      <c r="U232" s="4">
        <v>2930438245</v>
      </c>
      <c r="V232" s="4">
        <v>2841568048</v>
      </c>
      <c r="W232" s="4">
        <v>2123618631</v>
      </c>
      <c r="X232" s="4">
        <v>2501374124</v>
      </c>
      <c r="Y232" s="4">
        <v>3243720466</v>
      </c>
      <c r="Z232" s="4">
        <v>-1558079658</v>
      </c>
    </row>
    <row r="233" spans="1:26" s="1" customFormat="1" ht="12.5" x14ac:dyDescent="0.25">
      <c r="A233" s="1" t="s">
        <v>381</v>
      </c>
      <c r="B233" s="1" t="s">
        <v>21</v>
      </c>
      <c r="C233" s="1" t="s">
        <v>21</v>
      </c>
      <c r="D233" s="1" t="s">
        <v>21</v>
      </c>
      <c r="E233" s="1" t="s">
        <v>21</v>
      </c>
      <c r="F233" s="4">
        <v>1028047594</v>
      </c>
      <c r="G233" s="4">
        <v>1194252960</v>
      </c>
      <c r="H233" s="4">
        <v>1600766884</v>
      </c>
      <c r="I233" s="4">
        <v>1682980185</v>
      </c>
      <c r="J233" s="4">
        <v>2052382866</v>
      </c>
      <c r="K233" s="4">
        <v>2340985079</v>
      </c>
      <c r="L233" s="4">
        <v>2840308163</v>
      </c>
      <c r="M233" s="6">
        <f>Table2[[#This Row],[2025]]/SUM(Table2[2025])</f>
        <v>1.7882565477341363E-4</v>
      </c>
      <c r="N233" s="4"/>
      <c r="O233" s="1" t="s">
        <v>224</v>
      </c>
      <c r="P233" s="4">
        <v>980827196</v>
      </c>
      <c r="Q233" s="4">
        <v>4753170905</v>
      </c>
      <c r="R233" s="4">
        <v>6151348247</v>
      </c>
      <c r="S233" s="4">
        <v>7576702302</v>
      </c>
      <c r="T233" s="4">
        <v>22337470688</v>
      </c>
      <c r="U233" s="4">
        <v>18330505281</v>
      </c>
      <c r="V233" s="4">
        <v>35440424009</v>
      </c>
      <c r="W233" s="4">
        <v>8389992910</v>
      </c>
      <c r="X233" s="4">
        <v>-14568937822</v>
      </c>
      <c r="Y233" s="4">
        <v>-20150804136</v>
      </c>
      <c r="Z233" s="4">
        <v>-43802187888</v>
      </c>
    </row>
    <row r="234" spans="1:26" s="1" customFormat="1" ht="12.5" x14ac:dyDescent="0.25">
      <c r="A234" s="1" t="s">
        <v>142</v>
      </c>
      <c r="B234" s="4">
        <v>1430254439</v>
      </c>
      <c r="C234" s="4">
        <v>1455051105</v>
      </c>
      <c r="D234" s="4">
        <v>1573207049</v>
      </c>
      <c r="E234" s="4">
        <v>1365452503</v>
      </c>
      <c r="F234" s="4">
        <v>1487287060</v>
      </c>
      <c r="G234" s="4">
        <v>1518190909</v>
      </c>
      <c r="H234" s="4">
        <v>1979654956</v>
      </c>
      <c r="I234" s="4">
        <v>2004024430</v>
      </c>
      <c r="J234" s="4">
        <v>2176789529</v>
      </c>
      <c r="K234" s="4">
        <v>2402580461</v>
      </c>
      <c r="L234" s="4">
        <v>2808492785</v>
      </c>
      <c r="M234" s="6">
        <f>Table2[[#This Row],[2025]]/SUM(Table2[2025])</f>
        <v>1.7682256022303063E-4</v>
      </c>
      <c r="N234" s="4"/>
      <c r="O234" s="1" t="s">
        <v>225</v>
      </c>
      <c r="P234" s="4">
        <v>3313224398</v>
      </c>
      <c r="Q234" s="4">
        <v>1034609103</v>
      </c>
      <c r="R234" s="4">
        <v>-482185326</v>
      </c>
      <c r="S234" s="4">
        <v>2379706821</v>
      </c>
      <c r="T234" s="4">
        <v>969333088</v>
      </c>
      <c r="U234" s="4">
        <v>25832984660</v>
      </c>
      <c r="V234" s="4">
        <v>65585746069</v>
      </c>
      <c r="W234" s="4">
        <v>10778905281</v>
      </c>
      <c r="X234" s="4">
        <v>-15983690593</v>
      </c>
      <c r="Y234" s="4">
        <v>-21000853838</v>
      </c>
      <c r="Z234" s="4">
        <v>-17966847206</v>
      </c>
    </row>
    <row r="235" spans="1:26" s="1" customFormat="1" ht="12.5" x14ac:dyDescent="0.25">
      <c r="A235" s="1" t="s">
        <v>115</v>
      </c>
      <c r="B235" s="4">
        <v>895815834</v>
      </c>
      <c r="C235" s="4">
        <v>807978740</v>
      </c>
      <c r="D235" s="4">
        <v>829207077</v>
      </c>
      <c r="E235" s="4">
        <v>712826026</v>
      </c>
      <c r="F235" s="4">
        <v>1208965139</v>
      </c>
      <c r="G235" s="4">
        <v>1757740075</v>
      </c>
      <c r="H235" s="4">
        <v>1331276759</v>
      </c>
      <c r="I235" s="4">
        <v>1759799435</v>
      </c>
      <c r="J235" s="4">
        <v>3474852508</v>
      </c>
      <c r="K235" s="4">
        <v>2544888422</v>
      </c>
      <c r="L235" s="4">
        <v>2725422653</v>
      </c>
      <c r="M235" s="6">
        <f>Table2[[#This Row],[2025]]/SUM(Table2[2025])</f>
        <v>1.7159246901654561E-4</v>
      </c>
      <c r="N235" s="4"/>
      <c r="O235" s="1" t="s">
        <v>226</v>
      </c>
      <c r="P235" s="4">
        <v>-496144697</v>
      </c>
      <c r="Q235" s="4">
        <v>-479432203</v>
      </c>
      <c r="R235" s="4">
        <v>-1004226166</v>
      </c>
      <c r="S235" s="4">
        <v>-1640542264</v>
      </c>
      <c r="T235" s="4">
        <v>-789262691</v>
      </c>
      <c r="U235" s="4">
        <v>-1330230845</v>
      </c>
      <c r="V235" s="4">
        <v>-645949066</v>
      </c>
      <c r="W235" s="4">
        <v>-542499045</v>
      </c>
      <c r="X235" s="4">
        <v>-303383636</v>
      </c>
      <c r="Y235" s="4">
        <v>-785977099</v>
      </c>
      <c r="Z235" s="4">
        <v>-362675165</v>
      </c>
    </row>
    <row r="236" spans="1:26" s="1" customFormat="1" ht="12.5" x14ac:dyDescent="0.25">
      <c r="A236" s="1" t="s">
        <v>353</v>
      </c>
      <c r="B236" s="1" t="s">
        <v>21</v>
      </c>
      <c r="C236" s="1" t="s">
        <v>21</v>
      </c>
      <c r="D236" s="1" t="s">
        <v>21</v>
      </c>
      <c r="E236" s="4">
        <v>502350781</v>
      </c>
      <c r="F236" s="4">
        <v>495125306</v>
      </c>
      <c r="G236" s="4">
        <v>421258348</v>
      </c>
      <c r="H236" s="4">
        <v>520904152</v>
      </c>
      <c r="I236" s="4">
        <v>911382128</v>
      </c>
      <c r="J236" s="4">
        <v>1605095401</v>
      </c>
      <c r="K236" s="4">
        <v>1617180916</v>
      </c>
      <c r="L236" s="4">
        <v>2712194897</v>
      </c>
      <c r="M236" s="6">
        <f>Table2[[#This Row],[2025]]/SUM(Table2[2025])</f>
        <v>1.7075965018417479E-4</v>
      </c>
      <c r="N236" s="4"/>
      <c r="O236" s="1" t="s">
        <v>227</v>
      </c>
      <c r="P236" s="4">
        <v>3419836276</v>
      </c>
      <c r="Q236" s="4">
        <v>4332384896</v>
      </c>
      <c r="R236" s="4">
        <v>9404468322</v>
      </c>
      <c r="S236" s="4">
        <v>1115120728</v>
      </c>
      <c r="T236" s="4">
        <v>8053220097</v>
      </c>
      <c r="U236" s="4">
        <v>1612908545</v>
      </c>
      <c r="V236" s="4">
        <v>256012394</v>
      </c>
      <c r="W236" s="4">
        <v>7001374712</v>
      </c>
      <c r="X236" s="4">
        <v>5557984063</v>
      </c>
      <c r="Y236" s="4">
        <v>5344706399</v>
      </c>
      <c r="Z236" s="4">
        <v>7782079729</v>
      </c>
    </row>
    <row r="237" spans="1:26" s="1" customFormat="1" ht="12.5" x14ac:dyDescent="0.25">
      <c r="A237" s="1" t="s">
        <v>48</v>
      </c>
      <c r="B237" s="4">
        <v>197452456</v>
      </c>
      <c r="C237" s="4">
        <v>69038381</v>
      </c>
      <c r="D237" s="4">
        <v>350808428</v>
      </c>
      <c r="E237" s="4">
        <v>590445799</v>
      </c>
      <c r="F237" s="4">
        <v>903636495</v>
      </c>
      <c r="G237" s="4">
        <v>1512850293</v>
      </c>
      <c r="H237" s="4">
        <v>1906122074</v>
      </c>
      <c r="I237" s="4">
        <v>1677151304</v>
      </c>
      <c r="J237" s="4">
        <v>1785148510</v>
      </c>
      <c r="K237" s="4">
        <v>2164690133</v>
      </c>
      <c r="L237" s="4">
        <v>2703864238</v>
      </c>
      <c r="M237" s="6">
        <f>Table2[[#This Row],[2025]]/SUM(Table2[2025])</f>
        <v>1.702351523251835E-4</v>
      </c>
      <c r="N237" s="4"/>
      <c r="O237" s="1" t="s">
        <v>228</v>
      </c>
      <c r="P237" s="4">
        <v>-2250088573</v>
      </c>
      <c r="Q237" s="4">
        <v>-1253168692</v>
      </c>
      <c r="R237" s="4">
        <v>2669016031</v>
      </c>
      <c r="S237" s="4">
        <v>3132805495</v>
      </c>
      <c r="T237" s="4">
        <v>7964728445</v>
      </c>
      <c r="U237" s="4">
        <v>1299676402</v>
      </c>
      <c r="V237" s="4">
        <v>2274920134</v>
      </c>
      <c r="W237" s="4">
        <v>614026364</v>
      </c>
      <c r="X237" s="4">
        <v>649855518</v>
      </c>
      <c r="Y237" s="4">
        <v>2268897570</v>
      </c>
      <c r="Z237" s="4">
        <v>2672427314</v>
      </c>
    </row>
    <row r="238" spans="1:26" s="1" customFormat="1" ht="12.5" x14ac:dyDescent="0.25">
      <c r="A238" s="1" t="s">
        <v>301</v>
      </c>
      <c r="B238" s="1" t="s">
        <v>21</v>
      </c>
      <c r="C238" s="4">
        <v>25023171</v>
      </c>
      <c r="D238" s="4">
        <v>232806789</v>
      </c>
      <c r="E238" s="4">
        <v>222186911</v>
      </c>
      <c r="F238" s="4">
        <v>1345149928</v>
      </c>
      <c r="G238" s="4">
        <v>1583595618</v>
      </c>
      <c r="H238" s="4">
        <v>1746902216</v>
      </c>
      <c r="I238" s="4">
        <v>1444746039</v>
      </c>
      <c r="J238" s="4">
        <v>2034808734</v>
      </c>
      <c r="K238" s="4">
        <v>2483361544</v>
      </c>
      <c r="L238" s="4">
        <v>2678312638</v>
      </c>
      <c r="M238" s="7">
        <f>Table2[[#This Row],[2025]]/SUM(Table2[2025])</f>
        <v>1.6862642491312615E-4</v>
      </c>
      <c r="O238" s="1" t="s">
        <v>229</v>
      </c>
      <c r="P238" s="4">
        <v>-644380723</v>
      </c>
      <c r="Q238" s="4">
        <v>-819424009</v>
      </c>
      <c r="R238" s="4">
        <v>-508194270</v>
      </c>
      <c r="S238" s="4">
        <v>-952109094</v>
      </c>
      <c r="T238" s="4">
        <v>-954788214</v>
      </c>
      <c r="U238" s="4">
        <v>-670272866</v>
      </c>
      <c r="V238" s="1" t="s">
        <v>21</v>
      </c>
      <c r="W238" s="4">
        <v>-588592338</v>
      </c>
      <c r="X238" s="4">
        <v>-784019266</v>
      </c>
      <c r="Y238" s="4">
        <v>-784283467</v>
      </c>
      <c r="Z238" s="4">
        <v>-96189054</v>
      </c>
    </row>
    <row r="239" spans="1:26" s="1" customFormat="1" ht="12.5" x14ac:dyDescent="0.25">
      <c r="A239" s="1" t="s">
        <v>108</v>
      </c>
      <c r="B239" s="4">
        <v>729932712</v>
      </c>
      <c r="C239" s="4">
        <v>592193287</v>
      </c>
      <c r="D239" s="4">
        <v>252329348</v>
      </c>
      <c r="E239" s="4">
        <v>161018590</v>
      </c>
      <c r="F239" s="4">
        <v>2647612637</v>
      </c>
      <c r="G239" s="4">
        <v>2729341938</v>
      </c>
      <c r="H239" s="4">
        <v>2675938547</v>
      </c>
      <c r="I239" s="4">
        <v>2419002366</v>
      </c>
      <c r="J239" s="4">
        <v>2543844845</v>
      </c>
      <c r="K239" s="4">
        <v>2689420697</v>
      </c>
      <c r="L239" s="4">
        <v>2664014312</v>
      </c>
      <c r="M239" s="6">
        <f>Table2[[#This Row],[2025]]/SUM(Table2[2025])</f>
        <v>1.6772620304902634E-4</v>
      </c>
      <c r="N239" s="4"/>
      <c r="O239" s="1" t="s">
        <v>230</v>
      </c>
      <c r="P239" s="4">
        <v>576996798</v>
      </c>
      <c r="Q239" s="4">
        <v>-943096573</v>
      </c>
      <c r="R239" s="4">
        <v>-4492794681</v>
      </c>
      <c r="S239" s="4">
        <v>-730187251</v>
      </c>
      <c r="T239" s="4">
        <v>-3681362862</v>
      </c>
      <c r="U239" s="4">
        <v>-714010822</v>
      </c>
      <c r="V239" s="4">
        <v>-1305647478</v>
      </c>
      <c r="W239" s="4">
        <v>173641214</v>
      </c>
      <c r="X239" s="4">
        <v>41064966</v>
      </c>
      <c r="Y239" s="4">
        <v>-216165331</v>
      </c>
      <c r="Z239" s="4">
        <v>-826219166</v>
      </c>
    </row>
    <row r="240" spans="1:26" s="1" customFormat="1" ht="12.5" x14ac:dyDescent="0.25">
      <c r="A240" s="1" t="s">
        <v>307</v>
      </c>
      <c r="B240" s="1" t="s">
        <v>21</v>
      </c>
      <c r="C240" s="4">
        <v>335496460</v>
      </c>
      <c r="D240" s="4">
        <v>421228050</v>
      </c>
      <c r="E240" s="4">
        <v>403322846</v>
      </c>
      <c r="F240" s="4">
        <v>511030516</v>
      </c>
      <c r="G240" s="4">
        <v>1511521182</v>
      </c>
      <c r="H240" s="4">
        <v>2971578766</v>
      </c>
      <c r="I240" s="4">
        <v>1379991737</v>
      </c>
      <c r="J240" s="4">
        <v>1075711508</v>
      </c>
      <c r="K240" s="4">
        <v>1298772656</v>
      </c>
      <c r="L240" s="4">
        <v>2599683633</v>
      </c>
      <c r="M240" s="6">
        <f>Table2[[#This Row],[2025]]/SUM(Table2[2025])</f>
        <v>1.6367594683244649E-4</v>
      </c>
      <c r="N240" s="4"/>
      <c r="O240" s="1" t="s">
        <v>231</v>
      </c>
      <c r="P240" s="4">
        <v>1715476226</v>
      </c>
      <c r="Q240" s="4">
        <v>1527575908</v>
      </c>
      <c r="R240" s="4">
        <v>2266188319</v>
      </c>
      <c r="S240" s="4">
        <v>-1971124727</v>
      </c>
      <c r="T240" s="4">
        <v>6236100157</v>
      </c>
      <c r="U240" s="4">
        <v>-404296636</v>
      </c>
      <c r="V240" s="4">
        <v>-4031701722</v>
      </c>
      <c r="W240" s="4">
        <v>-2388472574</v>
      </c>
      <c r="X240" s="4">
        <v>-7363831807</v>
      </c>
      <c r="Y240" s="4">
        <v>-7431388138</v>
      </c>
      <c r="Z240" s="4">
        <v>-11689344658</v>
      </c>
    </row>
    <row r="241" spans="1:26" s="1" customFormat="1" ht="12.5" x14ac:dyDescent="0.25">
      <c r="A241" s="1" t="s">
        <v>370</v>
      </c>
      <c r="B241" s="1" t="s">
        <v>21</v>
      </c>
      <c r="C241" s="1" t="s">
        <v>21</v>
      </c>
      <c r="D241" s="1" t="s">
        <v>21</v>
      </c>
      <c r="E241" s="1" t="s">
        <v>21</v>
      </c>
      <c r="F241" s="4">
        <v>17293371</v>
      </c>
      <c r="G241" s="4">
        <v>90213179</v>
      </c>
      <c r="H241" s="4">
        <v>139509314</v>
      </c>
      <c r="I241" s="4">
        <v>257750110</v>
      </c>
      <c r="J241" s="4">
        <v>397839488</v>
      </c>
      <c r="K241" s="4">
        <v>378168675</v>
      </c>
      <c r="L241" s="4">
        <v>2585231585</v>
      </c>
      <c r="M241" s="6">
        <f>Table2[[#This Row],[2025]]/SUM(Table2[2025])</f>
        <v>1.627660466391917E-4</v>
      </c>
      <c r="N241" s="4"/>
      <c r="O241" s="1" t="s">
        <v>232</v>
      </c>
      <c r="P241" s="4">
        <v>-185647332</v>
      </c>
      <c r="Q241" s="4">
        <v>-18015049</v>
      </c>
      <c r="R241" s="4">
        <v>425156442</v>
      </c>
      <c r="S241" s="4">
        <v>4191757433</v>
      </c>
      <c r="T241" s="4">
        <v>-1785619042</v>
      </c>
      <c r="U241" s="4">
        <v>-2213846328</v>
      </c>
      <c r="V241" s="4">
        <v>-1201149887</v>
      </c>
      <c r="W241" s="4">
        <v>-3274998548</v>
      </c>
      <c r="X241" s="4">
        <v>-2631275703</v>
      </c>
      <c r="Y241" s="4">
        <v>-10267692980</v>
      </c>
      <c r="Z241" s="4">
        <v>-985549410</v>
      </c>
    </row>
    <row r="242" spans="1:26" s="1" customFormat="1" ht="12.5" x14ac:dyDescent="0.25">
      <c r="A242" s="1" t="s">
        <v>85</v>
      </c>
      <c r="B242" s="4">
        <v>484748680</v>
      </c>
      <c r="C242" s="4">
        <v>600281900</v>
      </c>
      <c r="D242" s="4">
        <v>626041733</v>
      </c>
      <c r="E242" s="4">
        <v>587309785</v>
      </c>
      <c r="F242" s="4">
        <v>1104015037</v>
      </c>
      <c r="G242" s="4">
        <v>1558242370</v>
      </c>
      <c r="H242" s="4">
        <v>1107399083</v>
      </c>
      <c r="I242" s="4">
        <v>1576616690</v>
      </c>
      <c r="J242" s="4">
        <v>1699690681</v>
      </c>
      <c r="K242" s="4">
        <v>1955903042</v>
      </c>
      <c r="L242" s="4">
        <v>2585188124</v>
      </c>
      <c r="M242" s="6">
        <f>Table2[[#This Row],[2025]]/SUM(Table2[2025])</f>
        <v>1.6276331033688362E-4</v>
      </c>
      <c r="N242" s="4"/>
      <c r="O242" s="1" t="s">
        <v>233</v>
      </c>
      <c r="P242" s="4">
        <v>-889956500</v>
      </c>
      <c r="Q242" s="4">
        <v>-1467906697</v>
      </c>
      <c r="R242" s="4">
        <v>8103395928</v>
      </c>
      <c r="S242" s="4">
        <v>-1256174339</v>
      </c>
      <c r="T242" s="4">
        <v>-2250439015</v>
      </c>
      <c r="U242" s="4">
        <v>-340226108</v>
      </c>
      <c r="V242" s="4">
        <v>-811262992</v>
      </c>
      <c r="W242" s="4">
        <v>-458850831</v>
      </c>
      <c r="X242" s="4">
        <v>-1014412865</v>
      </c>
      <c r="Y242" s="4">
        <v>-1883168238</v>
      </c>
      <c r="Z242" s="4">
        <v>5410510228</v>
      </c>
    </row>
    <row r="243" spans="1:26" s="1" customFormat="1" ht="12.5" x14ac:dyDescent="0.25">
      <c r="A243" s="1" t="s">
        <v>100</v>
      </c>
      <c r="B243" s="4">
        <v>657264981</v>
      </c>
      <c r="C243" s="4">
        <v>873351017</v>
      </c>
      <c r="D243" s="4">
        <v>1052015327</v>
      </c>
      <c r="E243" s="4">
        <v>943011426</v>
      </c>
      <c r="F243" s="4">
        <v>1069468817</v>
      </c>
      <c r="G243" s="4">
        <v>1081010975</v>
      </c>
      <c r="H243" s="4">
        <v>1387843387</v>
      </c>
      <c r="I243" s="4">
        <v>1562356452</v>
      </c>
      <c r="J243" s="4">
        <v>1708878580</v>
      </c>
      <c r="K243" s="4">
        <v>2084850502</v>
      </c>
      <c r="L243" s="4">
        <v>2526299590</v>
      </c>
      <c r="M243" s="6">
        <f>Table2[[#This Row],[2025]]/SUM(Table2[2025])</f>
        <v>1.590556912875219E-4</v>
      </c>
      <c r="N243" s="4"/>
      <c r="O243" s="1" t="s">
        <v>234</v>
      </c>
      <c r="P243" s="4">
        <v>1168673826</v>
      </c>
      <c r="Q243" s="4">
        <v>5339542516</v>
      </c>
      <c r="R243" s="4">
        <v>1038931955</v>
      </c>
      <c r="S243" s="4">
        <v>5154729675</v>
      </c>
      <c r="T243" s="4">
        <v>1519498864</v>
      </c>
      <c r="U243" s="4">
        <v>8318872756</v>
      </c>
      <c r="V243" s="4">
        <v>11880633985</v>
      </c>
      <c r="W243" s="4">
        <v>2829241600</v>
      </c>
      <c r="X243" s="4">
        <v>1569455660</v>
      </c>
      <c r="Y243" s="4">
        <v>7094993226</v>
      </c>
      <c r="Z243" s="4">
        <v>-8526252773</v>
      </c>
    </row>
    <row r="244" spans="1:26" s="1" customFormat="1" ht="12.5" x14ac:dyDescent="0.25">
      <c r="A244" s="1" t="s">
        <v>471</v>
      </c>
      <c r="B244" s="1" t="s">
        <v>21</v>
      </c>
      <c r="C244" s="1" t="s">
        <v>21</v>
      </c>
      <c r="D244" s="1" t="s">
        <v>21</v>
      </c>
      <c r="E244" s="1" t="s">
        <v>21</v>
      </c>
      <c r="F244" s="1" t="s">
        <v>21</v>
      </c>
      <c r="G244" s="1" t="s">
        <v>21</v>
      </c>
      <c r="H244" s="1" t="s">
        <v>21</v>
      </c>
      <c r="I244" s="1" t="s">
        <v>21</v>
      </c>
      <c r="J244" s="1" t="s">
        <v>21</v>
      </c>
      <c r="K244" s="4">
        <v>2081206831</v>
      </c>
      <c r="L244" s="4">
        <v>2474898777</v>
      </c>
      <c r="M244" s="6">
        <f>Table2[[#This Row],[2025]]/SUM(Table2[2025])</f>
        <v>1.5581949876434785E-4</v>
      </c>
      <c r="N244" s="4"/>
      <c r="O244" s="1" t="s">
        <v>235</v>
      </c>
      <c r="P244" s="4">
        <v>816639340</v>
      </c>
      <c r="Q244" s="4">
        <v>-175217531</v>
      </c>
      <c r="R244" s="4">
        <v>-305368561</v>
      </c>
      <c r="S244" s="4">
        <v>500575572</v>
      </c>
      <c r="T244" s="4">
        <v>2153731063</v>
      </c>
      <c r="U244" s="4">
        <v>5185095959</v>
      </c>
      <c r="V244" s="4">
        <v>-93860722</v>
      </c>
      <c r="W244" s="4">
        <v>-2067122217</v>
      </c>
      <c r="X244" s="4">
        <v>-1480758195</v>
      </c>
      <c r="Y244" s="4">
        <v>-1291919619</v>
      </c>
      <c r="Z244" s="4">
        <v>-1167527221</v>
      </c>
    </row>
    <row r="245" spans="1:26" s="1" customFormat="1" ht="12.5" x14ac:dyDescent="0.25">
      <c r="A245" s="1" t="s">
        <v>380</v>
      </c>
      <c r="B245" s="1" t="s">
        <v>21</v>
      </c>
      <c r="C245" s="1" t="s">
        <v>21</v>
      </c>
      <c r="D245" s="1" t="s">
        <v>21</v>
      </c>
      <c r="E245" s="1" t="s">
        <v>21</v>
      </c>
      <c r="F245" s="4">
        <v>692482522</v>
      </c>
      <c r="G245" s="4">
        <v>1039938576</v>
      </c>
      <c r="H245" s="4">
        <v>1350195990</v>
      </c>
      <c r="I245" s="4">
        <v>1591141700</v>
      </c>
      <c r="J245" s="4">
        <v>1898558337</v>
      </c>
      <c r="K245" s="4">
        <v>2030733352</v>
      </c>
      <c r="L245" s="4">
        <v>2427244282</v>
      </c>
      <c r="M245" s="6">
        <f>Table2[[#This Row],[2025]]/SUM(Table2[2025])</f>
        <v>1.5281917422834033E-4</v>
      </c>
      <c r="N245" s="4"/>
      <c r="O245" s="1" t="s">
        <v>236</v>
      </c>
      <c r="P245" s="4">
        <v>-1102784104</v>
      </c>
      <c r="Q245" s="4">
        <v>-2449490275</v>
      </c>
      <c r="R245" s="4">
        <v>-433128590</v>
      </c>
      <c r="S245" s="4">
        <v>397945272</v>
      </c>
      <c r="T245" s="4">
        <v>11629124768</v>
      </c>
      <c r="U245" s="4">
        <v>1752404600</v>
      </c>
      <c r="V245" s="4">
        <v>-1775166489</v>
      </c>
      <c r="W245" s="4">
        <v>-5125870121</v>
      </c>
      <c r="X245" s="4">
        <v>-731994911</v>
      </c>
      <c r="Y245" s="4">
        <v>902896345</v>
      </c>
      <c r="Z245" s="4">
        <v>-3132636016</v>
      </c>
    </row>
    <row r="246" spans="1:26" s="1" customFormat="1" ht="12.5" x14ac:dyDescent="0.25">
      <c r="A246" s="1" t="s">
        <v>29</v>
      </c>
      <c r="B246" s="4">
        <v>43939612</v>
      </c>
      <c r="C246" s="4">
        <v>726566211</v>
      </c>
      <c r="D246" s="4">
        <v>1023051502</v>
      </c>
      <c r="E246" s="4">
        <v>1052512905</v>
      </c>
      <c r="F246" s="4">
        <v>1221311301</v>
      </c>
      <c r="G246" s="4">
        <v>1291789551</v>
      </c>
      <c r="H246" s="4">
        <v>1507062604</v>
      </c>
      <c r="I246" s="4">
        <v>1504561234</v>
      </c>
      <c r="J246" s="4">
        <v>1714070217</v>
      </c>
      <c r="K246" s="4">
        <v>2013000664</v>
      </c>
      <c r="L246" s="4">
        <v>2414822009</v>
      </c>
      <c r="M246" s="6">
        <f>Table2[[#This Row],[2025]]/SUM(Table2[2025])</f>
        <v>1.5203706856391382E-4</v>
      </c>
      <c r="N246" s="4"/>
      <c r="O246" s="1" t="s">
        <v>237</v>
      </c>
      <c r="P246" s="4">
        <v>-858871154</v>
      </c>
      <c r="Q246" s="4">
        <v>-780769558</v>
      </c>
      <c r="R246" s="4">
        <v>956242928</v>
      </c>
      <c r="S246" s="4">
        <v>-480697793</v>
      </c>
      <c r="T246" s="4">
        <v>3847368094</v>
      </c>
      <c r="U246" s="4">
        <v>-488411921</v>
      </c>
      <c r="V246" s="4">
        <v>1740103668</v>
      </c>
      <c r="W246" s="4">
        <v>1631028945</v>
      </c>
      <c r="X246" s="4">
        <v>-4701879934</v>
      </c>
      <c r="Y246" s="4">
        <v>-3322165175</v>
      </c>
      <c r="Z246" s="4">
        <v>-3340983789</v>
      </c>
    </row>
    <row r="247" spans="1:26" s="1" customFormat="1" ht="12.5" x14ac:dyDescent="0.25">
      <c r="A247" s="1" t="s">
        <v>145</v>
      </c>
      <c r="B247" s="4">
        <v>1541830540</v>
      </c>
      <c r="C247" s="4">
        <v>1586912598</v>
      </c>
      <c r="D247" s="4">
        <v>1446827638</v>
      </c>
      <c r="E247" s="4">
        <v>1346346273</v>
      </c>
      <c r="F247" s="4">
        <v>1557650174</v>
      </c>
      <c r="G247" s="4">
        <v>1543632986</v>
      </c>
      <c r="H247" s="4">
        <v>1816421502</v>
      </c>
      <c r="I247" s="4">
        <v>1718303067</v>
      </c>
      <c r="J247" s="4">
        <v>1885554814</v>
      </c>
      <c r="K247" s="4">
        <v>2177714781</v>
      </c>
      <c r="L247" s="4">
        <v>2364813103</v>
      </c>
      <c r="M247" s="6">
        <f>Table2[[#This Row],[2025]]/SUM(Table2[2025])</f>
        <v>1.4888851043333887E-4</v>
      </c>
      <c r="N247" s="4"/>
      <c r="O247" s="1" t="s">
        <v>238</v>
      </c>
      <c r="P247" s="4">
        <v>107326503</v>
      </c>
      <c r="Q247" s="4">
        <v>-356730271</v>
      </c>
      <c r="R247" s="4">
        <v>2914853515</v>
      </c>
      <c r="S247" s="4">
        <v>5611021850</v>
      </c>
      <c r="T247" s="4">
        <v>2185483948</v>
      </c>
      <c r="U247" s="4">
        <v>5406862757</v>
      </c>
      <c r="V247" s="4">
        <v>2444021626</v>
      </c>
      <c r="W247" s="4">
        <v>-423852597</v>
      </c>
      <c r="X247" s="4">
        <v>-10742304413</v>
      </c>
      <c r="Y247" s="4">
        <v>1120673594</v>
      </c>
      <c r="Z247" s="4">
        <v>-1963237380</v>
      </c>
    </row>
    <row r="248" spans="1:26" s="1" customFormat="1" ht="12.5" x14ac:dyDescent="0.25">
      <c r="A248" s="1" t="s">
        <v>372</v>
      </c>
      <c r="B248" s="1" t="s">
        <v>21</v>
      </c>
      <c r="C248" s="1" t="s">
        <v>21</v>
      </c>
      <c r="D248" s="1" t="s">
        <v>21</v>
      </c>
      <c r="E248" s="1" t="s">
        <v>21</v>
      </c>
      <c r="F248" s="4">
        <v>374532999</v>
      </c>
      <c r="G248" s="4">
        <v>580579436</v>
      </c>
      <c r="H248" s="4">
        <v>1082984245</v>
      </c>
      <c r="I248" s="4">
        <v>1450296370</v>
      </c>
      <c r="J248" s="4">
        <v>1963234983</v>
      </c>
      <c r="K248" s="4">
        <v>2194056457</v>
      </c>
      <c r="L248" s="4">
        <v>2301613561</v>
      </c>
      <c r="M248" s="6">
        <f>Table2[[#This Row],[2025]]/SUM(Table2[2025])</f>
        <v>1.4490947054366973E-4</v>
      </c>
      <c r="N248" s="4"/>
      <c r="O248" s="1" t="s">
        <v>239</v>
      </c>
      <c r="P248" s="4">
        <v>1848842937</v>
      </c>
      <c r="Q248" s="4">
        <v>2159615629</v>
      </c>
      <c r="R248" s="4">
        <v>1161624752</v>
      </c>
      <c r="S248" s="4">
        <v>2263292645</v>
      </c>
      <c r="T248" s="4">
        <v>3005993477</v>
      </c>
      <c r="U248" s="4">
        <v>3205201474</v>
      </c>
      <c r="V248" s="4">
        <v>2690726930</v>
      </c>
      <c r="W248" s="4">
        <v>8072355508</v>
      </c>
      <c r="X248" s="4">
        <v>5593728661</v>
      </c>
      <c r="Y248" s="4">
        <v>933138252</v>
      </c>
      <c r="Z248" s="4">
        <v>-1463120877</v>
      </c>
    </row>
    <row r="249" spans="1:26" s="1" customFormat="1" ht="12.5" x14ac:dyDescent="0.25">
      <c r="A249" s="1" t="s">
        <v>129</v>
      </c>
      <c r="B249" s="4">
        <v>1247659369</v>
      </c>
      <c r="C249" s="4">
        <v>1304803570</v>
      </c>
      <c r="D249" s="4">
        <v>1358622783</v>
      </c>
      <c r="E249" s="4">
        <v>1434527825</v>
      </c>
      <c r="F249" s="4">
        <v>1628625691</v>
      </c>
      <c r="G249" s="4">
        <v>1954929203</v>
      </c>
      <c r="H249" s="4">
        <v>2445113399</v>
      </c>
      <c r="I249" s="4">
        <v>2061516555</v>
      </c>
      <c r="J249" s="4">
        <v>2355859389</v>
      </c>
      <c r="K249" s="4">
        <v>2480309124</v>
      </c>
      <c r="L249" s="4">
        <v>2297633979</v>
      </c>
      <c r="M249" s="6">
        <f>Table2[[#This Row],[2025]]/SUM(Table2[2025])</f>
        <v>1.4465891626714967E-4</v>
      </c>
      <c r="N249" s="4"/>
      <c r="O249" s="1" t="s">
        <v>240</v>
      </c>
      <c r="P249" s="4">
        <v>-431187015</v>
      </c>
      <c r="Q249" s="4">
        <v>-662987409</v>
      </c>
      <c r="R249" s="4">
        <v>-2384314088</v>
      </c>
      <c r="S249" s="4">
        <v>-683299643</v>
      </c>
      <c r="T249" s="4">
        <v>-1487900251</v>
      </c>
      <c r="U249" s="4">
        <v>-343421851</v>
      </c>
      <c r="V249" s="4">
        <v>-1069264434</v>
      </c>
      <c r="W249" s="4">
        <v>-1425149361</v>
      </c>
      <c r="X249" s="4">
        <v>-1389537616</v>
      </c>
      <c r="Y249" s="4">
        <v>-968109733</v>
      </c>
      <c r="Z249" s="4">
        <v>-458237363</v>
      </c>
    </row>
    <row r="250" spans="1:26" s="1" customFormat="1" ht="12.5" x14ac:dyDescent="0.25">
      <c r="A250" s="1" t="s">
        <v>59</v>
      </c>
      <c r="B250" s="4">
        <v>263151798</v>
      </c>
      <c r="C250" s="4">
        <v>290154696</v>
      </c>
      <c r="D250" s="4">
        <v>291658357</v>
      </c>
      <c r="E250" s="4">
        <v>269291401</v>
      </c>
      <c r="F250" s="4">
        <v>396815470</v>
      </c>
      <c r="G250" s="4">
        <v>560876526</v>
      </c>
      <c r="H250" s="4">
        <v>825108047</v>
      </c>
      <c r="I250" s="4">
        <v>722057603</v>
      </c>
      <c r="J250" s="4">
        <v>726242064</v>
      </c>
      <c r="K250" s="4">
        <v>1658441753</v>
      </c>
      <c r="L250" s="4">
        <v>2255970559</v>
      </c>
      <c r="M250" s="6">
        <f>Table2[[#This Row],[2025]]/SUM(Table2[2025])</f>
        <v>1.4203578950271775E-4</v>
      </c>
      <c r="N250" s="4"/>
      <c r="O250" s="1" t="s">
        <v>241</v>
      </c>
      <c r="P250" s="4">
        <v>5228184159</v>
      </c>
      <c r="Q250" s="4">
        <v>2193874134</v>
      </c>
      <c r="R250" s="4">
        <v>4613131302</v>
      </c>
      <c r="S250" s="4">
        <v>-3325953360</v>
      </c>
      <c r="T250" s="4">
        <v>990794078</v>
      </c>
      <c r="U250" s="4">
        <v>-4931385585</v>
      </c>
      <c r="V250" s="4">
        <v>-8772498925</v>
      </c>
      <c r="W250" s="4">
        <v>-16495775540</v>
      </c>
      <c r="X250" s="4">
        <v>-3584589588</v>
      </c>
      <c r="Y250" s="4">
        <v>-1663238787</v>
      </c>
      <c r="Z250" s="4">
        <v>-178216787</v>
      </c>
    </row>
    <row r="251" spans="1:26" s="1" customFormat="1" ht="12.5" x14ac:dyDescent="0.25">
      <c r="A251" s="1" t="s">
        <v>73</v>
      </c>
      <c r="B251" s="4">
        <v>369908756</v>
      </c>
      <c r="C251" s="4">
        <v>999892118</v>
      </c>
      <c r="D251" s="4">
        <v>1053478763</v>
      </c>
      <c r="E251" s="4">
        <v>1098675072</v>
      </c>
      <c r="F251" s="4">
        <v>1219107069</v>
      </c>
      <c r="G251" s="4">
        <v>1666267977</v>
      </c>
      <c r="H251" s="4">
        <v>1913631958</v>
      </c>
      <c r="I251" s="4">
        <v>1727684278</v>
      </c>
      <c r="J251" s="4">
        <v>1865804877</v>
      </c>
      <c r="K251" s="4">
        <v>2052994305</v>
      </c>
      <c r="L251" s="4">
        <v>2228107680</v>
      </c>
      <c r="M251" s="6">
        <f>Table2[[#This Row],[2025]]/SUM(Table2[2025])</f>
        <v>1.4028154408457811E-4</v>
      </c>
      <c r="N251" s="4"/>
      <c r="O251" s="1" t="s">
        <v>242</v>
      </c>
      <c r="P251" s="4">
        <v>2098336474</v>
      </c>
      <c r="Q251" s="4">
        <v>1725284915</v>
      </c>
      <c r="R251" s="4">
        <v>3776494879</v>
      </c>
      <c r="S251" s="4">
        <v>3196732875</v>
      </c>
      <c r="T251" s="4">
        <v>3974338090</v>
      </c>
      <c r="U251" s="4">
        <v>4720975262</v>
      </c>
      <c r="V251" s="4">
        <v>14891524903</v>
      </c>
      <c r="W251" s="4">
        <v>8274892800</v>
      </c>
      <c r="X251" s="4">
        <v>9589878476</v>
      </c>
      <c r="Y251" s="4">
        <v>6821821170</v>
      </c>
      <c r="Z251" s="4">
        <v>-61048186638</v>
      </c>
    </row>
    <row r="252" spans="1:26" s="1" customFormat="1" ht="12.5" x14ac:dyDescent="0.25">
      <c r="A252" s="1" t="s">
        <v>461</v>
      </c>
      <c r="B252" s="1" t="s">
        <v>21</v>
      </c>
      <c r="C252" s="1" t="s">
        <v>21</v>
      </c>
      <c r="D252" s="1" t="s">
        <v>21</v>
      </c>
      <c r="E252" s="1" t="s">
        <v>21</v>
      </c>
      <c r="F252" s="1" t="s">
        <v>21</v>
      </c>
      <c r="G252" s="1" t="s">
        <v>21</v>
      </c>
      <c r="H252" s="1" t="s">
        <v>21</v>
      </c>
      <c r="I252" s="1" t="s">
        <v>21</v>
      </c>
      <c r="J252" s="1" t="s">
        <v>21</v>
      </c>
      <c r="K252" s="1" t="s">
        <v>21</v>
      </c>
      <c r="L252" s="4">
        <v>2203803243</v>
      </c>
      <c r="M252" s="6">
        <f>Table2[[#This Row],[2025]]/SUM(Table2[2025])</f>
        <v>1.3875133799037966E-4</v>
      </c>
      <c r="N252" s="4"/>
      <c r="O252" s="1" t="s">
        <v>243</v>
      </c>
      <c r="P252" s="4">
        <v>-4119451436</v>
      </c>
      <c r="Q252" s="4">
        <v>344192224</v>
      </c>
      <c r="R252" s="4">
        <v>-4206918285</v>
      </c>
      <c r="S252" s="4">
        <v>-2342345203</v>
      </c>
      <c r="T252" s="4">
        <v>-3701998569</v>
      </c>
      <c r="U252" s="4">
        <v>-3862441152</v>
      </c>
      <c r="V252" s="4">
        <v>1942636117</v>
      </c>
      <c r="W252" s="4">
        <v>-792983395</v>
      </c>
      <c r="X252" s="4">
        <v>-2278357554</v>
      </c>
      <c r="Y252" s="4">
        <v>-8051984650</v>
      </c>
      <c r="Z252" s="4">
        <v>-157176385</v>
      </c>
    </row>
    <row r="253" spans="1:26" s="1" customFormat="1" ht="12.5" x14ac:dyDescent="0.25">
      <c r="A253" s="1" t="s">
        <v>31</v>
      </c>
      <c r="B253" s="4">
        <v>59812898</v>
      </c>
      <c r="C253" s="4">
        <v>496058886</v>
      </c>
      <c r="D253" s="4">
        <v>542461501</v>
      </c>
      <c r="E253" s="4">
        <v>654293300</v>
      </c>
      <c r="F253" s="4">
        <v>788725998</v>
      </c>
      <c r="G253" s="4">
        <v>905301688</v>
      </c>
      <c r="H253" s="4">
        <v>1129980516</v>
      </c>
      <c r="I253" s="4">
        <v>960262117</v>
      </c>
      <c r="J253" s="4">
        <v>2053967544</v>
      </c>
      <c r="K253" s="4">
        <v>2709183635</v>
      </c>
      <c r="L253" s="4">
        <v>2180426976</v>
      </c>
      <c r="M253" s="6">
        <f>Table2[[#This Row],[2025]]/SUM(Table2[2025])</f>
        <v>1.3727956943128858E-4</v>
      </c>
      <c r="N253" s="4"/>
      <c r="O253" s="1" t="s">
        <v>244</v>
      </c>
      <c r="P253" s="4">
        <v>-3426278314</v>
      </c>
      <c r="Q253" s="4">
        <v>-4560764980</v>
      </c>
      <c r="R253" s="4">
        <v>3455364259</v>
      </c>
      <c r="S253" s="4">
        <v>568153676</v>
      </c>
      <c r="T253" s="4">
        <v>2796029074</v>
      </c>
      <c r="U253" s="4">
        <v>-3246403006</v>
      </c>
      <c r="V253" s="4">
        <v>-8746887436</v>
      </c>
      <c r="W253" s="4">
        <v>-3661980736</v>
      </c>
      <c r="X253" s="4">
        <v>-4939054423</v>
      </c>
      <c r="Y253" s="4">
        <v>-5209530869</v>
      </c>
      <c r="Z253" s="4">
        <v>-5513033405</v>
      </c>
    </row>
    <row r="254" spans="1:26" s="1" customFormat="1" ht="12.5" x14ac:dyDescent="0.25">
      <c r="A254" s="1" t="s">
        <v>340</v>
      </c>
      <c r="B254" s="1" t="s">
        <v>21</v>
      </c>
      <c r="C254" s="1" t="s">
        <v>21</v>
      </c>
      <c r="D254" s="4">
        <v>411623452</v>
      </c>
      <c r="E254" s="4">
        <v>641415624</v>
      </c>
      <c r="F254" s="4">
        <v>454170535</v>
      </c>
      <c r="G254" s="4">
        <v>743477096</v>
      </c>
      <c r="H254" s="4">
        <v>1019888132</v>
      </c>
      <c r="I254" s="4">
        <v>1224271369</v>
      </c>
      <c r="J254" s="4">
        <v>1417704500</v>
      </c>
      <c r="K254" s="4">
        <v>1794551082</v>
      </c>
      <c r="L254" s="4">
        <v>2178916117</v>
      </c>
      <c r="M254" s="6">
        <f>Table2[[#This Row],[2025]]/SUM(Table2[2025])</f>
        <v>1.3718444582693295E-4</v>
      </c>
      <c r="N254" s="4"/>
      <c r="O254" s="1" t="s">
        <v>245</v>
      </c>
      <c r="P254" s="4">
        <v>-3918767517</v>
      </c>
      <c r="Q254" s="4">
        <v>-177068865</v>
      </c>
      <c r="R254" s="4">
        <v>5272269870</v>
      </c>
      <c r="S254" s="4">
        <v>11010171174</v>
      </c>
      <c r="T254" s="4">
        <v>12495933845</v>
      </c>
      <c r="U254" s="4">
        <v>-7087672432</v>
      </c>
      <c r="V254" s="4">
        <v>1916761546</v>
      </c>
      <c r="W254" s="4">
        <v>-3893344830</v>
      </c>
      <c r="X254" s="4">
        <v>-14609379172</v>
      </c>
      <c r="Y254" s="4">
        <v>-9551300803</v>
      </c>
      <c r="Z254" s="4">
        <v>-5710275963</v>
      </c>
    </row>
    <row r="255" spans="1:26" s="1" customFormat="1" ht="12.5" x14ac:dyDescent="0.25">
      <c r="A255" s="1" t="s">
        <v>288</v>
      </c>
      <c r="B255" s="1" t="s">
        <v>21</v>
      </c>
      <c r="C255" s="4">
        <v>4068022</v>
      </c>
      <c r="D255" s="4">
        <v>11514804</v>
      </c>
      <c r="E255" s="4">
        <v>16958802</v>
      </c>
      <c r="F255" s="4">
        <v>686492506</v>
      </c>
      <c r="G255" s="4">
        <v>606153716</v>
      </c>
      <c r="H255" s="4">
        <v>1401365791</v>
      </c>
      <c r="I255" s="4">
        <v>1237980502</v>
      </c>
      <c r="J255" s="4">
        <v>1468244222</v>
      </c>
      <c r="K255" s="4">
        <v>1605780661</v>
      </c>
      <c r="L255" s="4">
        <v>2177224508</v>
      </c>
      <c r="M255" s="6">
        <f>Table2[[#This Row],[2025]]/SUM(Table2[2025])</f>
        <v>1.3707794221194279E-4</v>
      </c>
      <c r="N255" s="4"/>
      <c r="O255" s="1" t="s">
        <v>246</v>
      </c>
      <c r="P255" s="4">
        <v>83765695</v>
      </c>
      <c r="Q255" s="4">
        <v>12472829992</v>
      </c>
      <c r="R255" s="4">
        <v>3012848251</v>
      </c>
      <c r="S255" s="4">
        <v>-1189577272</v>
      </c>
      <c r="T255" s="4">
        <v>-5564565880</v>
      </c>
      <c r="U255" s="4">
        <v>-3350644818</v>
      </c>
      <c r="V255" s="4">
        <v>-6449309377</v>
      </c>
      <c r="W255" s="4">
        <v>-3464825169</v>
      </c>
      <c r="X255" s="4">
        <v>-3748120128</v>
      </c>
      <c r="Y255" s="4">
        <v>63947770</v>
      </c>
      <c r="Z255" s="4">
        <v>11376943517</v>
      </c>
    </row>
    <row r="256" spans="1:26" s="1" customFormat="1" ht="12.5" x14ac:dyDescent="0.25">
      <c r="A256" s="1" t="s">
        <v>449</v>
      </c>
      <c r="B256" s="1" t="s">
        <v>21</v>
      </c>
      <c r="C256" s="1" t="s">
        <v>21</v>
      </c>
      <c r="D256" s="1" t="s">
        <v>21</v>
      </c>
      <c r="E256" s="1" t="s">
        <v>21</v>
      </c>
      <c r="F256" s="1" t="s">
        <v>21</v>
      </c>
      <c r="G256" s="1" t="s">
        <v>21</v>
      </c>
      <c r="H256" s="1" t="s">
        <v>21</v>
      </c>
      <c r="I256" s="4">
        <v>644662289</v>
      </c>
      <c r="J256" s="4">
        <v>1147627166</v>
      </c>
      <c r="K256" s="4">
        <v>1538603850</v>
      </c>
      <c r="L256" s="4">
        <v>2170898463</v>
      </c>
      <c r="M256" s="6">
        <f>Table2[[#This Row],[2025]]/SUM(Table2[2025])</f>
        <v>1.3667965474652345E-4</v>
      </c>
      <c r="N256" s="4"/>
      <c r="O256" s="1" t="s">
        <v>247</v>
      </c>
      <c r="P256" s="4">
        <v>4287074725</v>
      </c>
      <c r="Q256" s="4">
        <v>5087408677</v>
      </c>
      <c r="R256" s="4">
        <v>4677174881</v>
      </c>
      <c r="S256" s="4">
        <v>4673902966</v>
      </c>
      <c r="T256" s="4">
        <v>7764622546</v>
      </c>
      <c r="U256" s="4">
        <v>3206871250</v>
      </c>
      <c r="V256" s="4">
        <v>8100507867</v>
      </c>
      <c r="W256" s="4">
        <v>3329746615</v>
      </c>
      <c r="X256" s="4">
        <v>1129117597</v>
      </c>
      <c r="Y256" s="4">
        <v>-5244212533</v>
      </c>
      <c r="Z256" s="4">
        <v>-1499729602</v>
      </c>
    </row>
    <row r="257" spans="1:26" s="1" customFormat="1" ht="12.5" x14ac:dyDescent="0.25">
      <c r="A257" s="1" t="s">
        <v>501</v>
      </c>
      <c r="B257" s="1" t="s">
        <v>21</v>
      </c>
      <c r="C257" s="1" t="s">
        <v>21</v>
      </c>
      <c r="D257" s="1" t="s">
        <v>21</v>
      </c>
      <c r="E257" s="1" t="s">
        <v>21</v>
      </c>
      <c r="F257" s="1" t="s">
        <v>21</v>
      </c>
      <c r="G257" s="1" t="s">
        <v>21</v>
      </c>
      <c r="H257" s="1" t="s">
        <v>21</v>
      </c>
      <c r="I257" s="1" t="s">
        <v>21</v>
      </c>
      <c r="J257" s="1" t="s">
        <v>21</v>
      </c>
      <c r="K257" s="1" t="s">
        <v>21</v>
      </c>
      <c r="L257" s="4">
        <v>2160159199</v>
      </c>
      <c r="M257" s="6">
        <f>Table2[[#This Row],[2025]]/SUM(Table2[2025])</f>
        <v>1.3600351124153274E-4</v>
      </c>
      <c r="N257" s="4"/>
      <c r="O257" s="1" t="s">
        <v>248</v>
      </c>
      <c r="P257" s="4">
        <v>1138036461</v>
      </c>
      <c r="Q257" s="4">
        <v>15739407098</v>
      </c>
      <c r="R257" s="4">
        <v>-1488220307</v>
      </c>
      <c r="S257" s="4">
        <v>5177825320</v>
      </c>
      <c r="T257" s="4">
        <v>-5289190470</v>
      </c>
      <c r="U257" s="4">
        <v>-1492791640</v>
      </c>
      <c r="V257" s="4">
        <v>4054265416</v>
      </c>
      <c r="W257" s="4">
        <v>-2236080767</v>
      </c>
      <c r="X257" s="4">
        <v>4419502034</v>
      </c>
      <c r="Y257" s="4">
        <v>14566625282</v>
      </c>
      <c r="Z257" s="4">
        <v>-11569433036</v>
      </c>
    </row>
    <row r="258" spans="1:26" s="1" customFormat="1" ht="12.5" x14ac:dyDescent="0.25">
      <c r="A258" s="1" t="s">
        <v>443</v>
      </c>
      <c r="B258" s="1" t="s">
        <v>21</v>
      </c>
      <c r="C258" s="1" t="s">
        <v>21</v>
      </c>
      <c r="D258" s="1" t="s">
        <v>21</v>
      </c>
      <c r="E258" s="1" t="s">
        <v>21</v>
      </c>
      <c r="F258" s="1" t="s">
        <v>21</v>
      </c>
      <c r="G258" s="1" t="s">
        <v>21</v>
      </c>
      <c r="H258" s="1" t="s">
        <v>21</v>
      </c>
      <c r="I258" s="4">
        <v>1523031272</v>
      </c>
      <c r="J258" s="4">
        <v>1693974781</v>
      </c>
      <c r="K258" s="4">
        <v>1830926369</v>
      </c>
      <c r="L258" s="4">
        <v>2159419131</v>
      </c>
      <c r="M258" s="6">
        <f>Table2[[#This Row],[2025]]/SUM(Table2[2025])</f>
        <v>1.3595691659859898E-4</v>
      </c>
      <c r="N258" s="4"/>
      <c r="O258" s="1" t="s">
        <v>249</v>
      </c>
      <c r="P258" s="4">
        <v>-12817997883</v>
      </c>
      <c r="Q258" s="4">
        <v>-13206291652</v>
      </c>
      <c r="R258" s="4">
        <v>-8009932128</v>
      </c>
      <c r="S258" s="4">
        <v>1155320696</v>
      </c>
      <c r="T258" s="4">
        <v>-719957883</v>
      </c>
      <c r="U258" s="4">
        <v>4052472961</v>
      </c>
      <c r="V258" s="4">
        <v>751828924</v>
      </c>
      <c r="W258" s="4">
        <v>-2358171359</v>
      </c>
      <c r="X258" s="4">
        <v>6634560351</v>
      </c>
      <c r="Y258" s="4">
        <v>4608966723</v>
      </c>
      <c r="Z258" s="4">
        <v>68235571</v>
      </c>
    </row>
    <row r="259" spans="1:26" s="1" customFormat="1" ht="12.5" x14ac:dyDescent="0.25">
      <c r="A259" s="1" t="s">
        <v>95</v>
      </c>
      <c r="B259" s="4">
        <v>604301331</v>
      </c>
      <c r="C259" s="4">
        <v>756465316</v>
      </c>
      <c r="D259" s="4">
        <v>804769890</v>
      </c>
      <c r="E259" s="4">
        <v>845260139</v>
      </c>
      <c r="F259" s="4">
        <v>969024742</v>
      </c>
      <c r="G259" s="4">
        <v>1112174890</v>
      </c>
      <c r="H259" s="4">
        <v>1481258797</v>
      </c>
      <c r="I259" s="4">
        <v>1367348835</v>
      </c>
      <c r="J259" s="4">
        <v>1653627996</v>
      </c>
      <c r="K259" s="4">
        <v>1797692716</v>
      </c>
      <c r="L259" s="4">
        <v>2110600799</v>
      </c>
      <c r="M259" s="6">
        <f>Table2[[#This Row],[2025]]/SUM(Table2[2025])</f>
        <v>1.3288331694537504E-4</v>
      </c>
      <c r="N259" s="4"/>
      <c r="O259" s="1" t="s">
        <v>250</v>
      </c>
      <c r="P259" s="4">
        <v>3070730452</v>
      </c>
      <c r="Q259" s="4">
        <v>-4399106719</v>
      </c>
      <c r="R259" s="4">
        <v>3620102770</v>
      </c>
      <c r="S259" s="4">
        <v>2603897507</v>
      </c>
      <c r="T259" s="4">
        <v>6337625307</v>
      </c>
      <c r="U259" s="4">
        <v>14988992481</v>
      </c>
      <c r="V259" s="4">
        <v>23889779153</v>
      </c>
      <c r="W259" s="4">
        <v>-4996326721</v>
      </c>
      <c r="X259" s="4">
        <v>-6329282036</v>
      </c>
      <c r="Y259" s="4">
        <v>-12048122798</v>
      </c>
      <c r="Z259" s="4">
        <v>-22250732605</v>
      </c>
    </row>
    <row r="260" spans="1:26" s="1" customFormat="1" ht="12.5" x14ac:dyDescent="0.25">
      <c r="A260" s="1" t="s">
        <v>398</v>
      </c>
      <c r="B260" s="1" t="s">
        <v>21</v>
      </c>
      <c r="C260" s="1" t="s">
        <v>21</v>
      </c>
      <c r="D260" s="1" t="s">
        <v>21</v>
      </c>
      <c r="E260" s="1" t="s">
        <v>21</v>
      </c>
      <c r="F260" s="1" t="s">
        <v>21</v>
      </c>
      <c r="G260" s="4">
        <v>347496841</v>
      </c>
      <c r="H260" s="4">
        <v>674540777</v>
      </c>
      <c r="I260" s="4">
        <v>820324876</v>
      </c>
      <c r="J260" s="4">
        <v>1203672139</v>
      </c>
      <c r="K260" s="4">
        <v>1607640955</v>
      </c>
      <c r="L260" s="4">
        <v>2090475034</v>
      </c>
      <c r="M260" s="6">
        <f>Table2[[#This Row],[2025]]/SUM(Table2[2025])</f>
        <v>1.3161619982378093E-4</v>
      </c>
      <c r="N260" s="4"/>
      <c r="O260" s="1" t="s">
        <v>251</v>
      </c>
      <c r="P260" s="4">
        <v>16820629416</v>
      </c>
      <c r="Q260" s="4">
        <v>3813128302</v>
      </c>
      <c r="R260" s="4">
        <v>10019931086</v>
      </c>
      <c r="S260" s="4">
        <v>29215534606</v>
      </c>
      <c r="T260" s="4">
        <v>14714730475</v>
      </c>
      <c r="U260" s="4">
        <v>-22383941152</v>
      </c>
      <c r="V260" s="4">
        <v>23179436281</v>
      </c>
      <c r="W260" s="4">
        <v>-16161377794</v>
      </c>
      <c r="X260" s="4">
        <v>-8664728424</v>
      </c>
      <c r="Y260" s="4">
        <v>36732949</v>
      </c>
      <c r="Z260" s="4">
        <v>-8523000834</v>
      </c>
    </row>
    <row r="261" spans="1:26" s="1" customFormat="1" ht="12.5" x14ac:dyDescent="0.25">
      <c r="A261" s="1" t="s">
        <v>306</v>
      </c>
      <c r="B261" s="1" t="s">
        <v>21</v>
      </c>
      <c r="C261" s="4">
        <v>1268515752</v>
      </c>
      <c r="D261" s="4">
        <v>1415088078</v>
      </c>
      <c r="E261" s="4">
        <v>1462259022</v>
      </c>
      <c r="F261" s="4">
        <v>1521831942</v>
      </c>
      <c r="G261" s="4">
        <v>1424991269</v>
      </c>
      <c r="H261" s="4">
        <v>1504324354</v>
      </c>
      <c r="I261" s="4">
        <v>1615800808</v>
      </c>
      <c r="J261" s="4">
        <v>1735883671</v>
      </c>
      <c r="K261" s="4">
        <v>1866219096</v>
      </c>
      <c r="L261" s="4">
        <v>2084499891</v>
      </c>
      <c r="M261" s="6">
        <f>Table2[[#This Row],[2025]]/SUM(Table2[2025])</f>
        <v>1.3124000513009979E-4</v>
      </c>
      <c r="N261" s="4"/>
      <c r="O261" s="1" t="s">
        <v>252</v>
      </c>
      <c r="P261" s="4">
        <v>4618188158</v>
      </c>
      <c r="Q261" s="4">
        <v>-999309647</v>
      </c>
      <c r="R261" s="4">
        <v>1458688489</v>
      </c>
      <c r="S261" s="4">
        <v>-1624914226</v>
      </c>
      <c r="T261" s="4">
        <v>-3378249686</v>
      </c>
      <c r="U261" s="4">
        <v>2717953927</v>
      </c>
      <c r="V261" s="4">
        <v>-3327373898</v>
      </c>
      <c r="W261" s="4">
        <v>-12968699771</v>
      </c>
      <c r="X261" s="4">
        <v>-13440519921</v>
      </c>
      <c r="Y261" s="4">
        <v>-1226266865</v>
      </c>
      <c r="Z261" s="4">
        <v>-812854148</v>
      </c>
    </row>
    <row r="262" spans="1:26" s="1" customFormat="1" ht="12.5" x14ac:dyDescent="0.25">
      <c r="A262" s="1" t="s">
        <v>440</v>
      </c>
      <c r="B262" s="1" t="s">
        <v>21</v>
      </c>
      <c r="C262" s="1" t="s">
        <v>21</v>
      </c>
      <c r="D262" s="1" t="s">
        <v>21</v>
      </c>
      <c r="E262" s="1" t="s">
        <v>21</v>
      </c>
      <c r="F262" s="1" t="s">
        <v>21</v>
      </c>
      <c r="G262" s="1" t="s">
        <v>21</v>
      </c>
      <c r="H262" s="1" t="s">
        <v>21</v>
      </c>
      <c r="I262" s="4">
        <v>1093745518</v>
      </c>
      <c r="J262" s="4">
        <v>1977600557</v>
      </c>
      <c r="K262" s="4">
        <v>2326062618</v>
      </c>
      <c r="L262" s="4">
        <v>2042251306</v>
      </c>
      <c r="M262" s="6">
        <f>Table2[[#This Row],[2025]]/SUM(Table2[2025])</f>
        <v>1.285800364075879E-4</v>
      </c>
      <c r="N262" s="4"/>
      <c r="O262" s="1" t="s">
        <v>253</v>
      </c>
      <c r="P262" s="4">
        <v>5229532569</v>
      </c>
      <c r="Q262" s="4">
        <v>6334979378</v>
      </c>
      <c r="R262" s="4">
        <v>3100206961</v>
      </c>
      <c r="S262" s="4">
        <v>-6148675103</v>
      </c>
      <c r="T262" s="4">
        <v>-1170468207</v>
      </c>
      <c r="U262" s="4">
        <v>710839362</v>
      </c>
      <c r="V262" s="4">
        <v>1823853238</v>
      </c>
      <c r="W262" s="4">
        <v>7338700956</v>
      </c>
      <c r="X262" s="4">
        <v>-4264563924</v>
      </c>
      <c r="Y262" s="4">
        <v>-2713839390</v>
      </c>
      <c r="Z262" s="4">
        <v>-8982126915</v>
      </c>
    </row>
    <row r="263" spans="1:26" s="1" customFormat="1" ht="12.5" x14ac:dyDescent="0.25">
      <c r="A263" s="1" t="s">
        <v>122</v>
      </c>
      <c r="B263" s="4">
        <v>1040196913</v>
      </c>
      <c r="C263" s="4">
        <v>783790953</v>
      </c>
      <c r="D263" s="4">
        <v>565716075</v>
      </c>
      <c r="E263" s="4">
        <v>870860098</v>
      </c>
      <c r="F263" s="4">
        <v>1414975383</v>
      </c>
      <c r="G263" s="4">
        <v>2180444697</v>
      </c>
      <c r="H263" s="4">
        <v>3036563369</v>
      </c>
      <c r="I263" s="4">
        <v>2536668179</v>
      </c>
      <c r="J263" s="4">
        <v>2446065223</v>
      </c>
      <c r="K263" s="4">
        <v>2545288578</v>
      </c>
      <c r="L263" s="4">
        <v>2029377596</v>
      </c>
      <c r="M263" s="6">
        <f>Table2[[#This Row],[2025]]/SUM(Table2[2025])</f>
        <v>1.2776950829303238E-4</v>
      </c>
      <c r="N263" s="4"/>
      <c r="O263" s="1" t="s">
        <v>254</v>
      </c>
      <c r="P263" s="4">
        <v>552514842</v>
      </c>
      <c r="Q263" s="4">
        <v>575764548</v>
      </c>
      <c r="R263" s="4">
        <v>-9990998423</v>
      </c>
      <c r="S263" s="4">
        <v>-5608610272</v>
      </c>
      <c r="T263" s="4">
        <v>-4474979648</v>
      </c>
      <c r="U263" s="4">
        <v>-5735836692</v>
      </c>
      <c r="V263" s="4">
        <v>-1052337466</v>
      </c>
      <c r="W263" s="4">
        <v>-547623682</v>
      </c>
      <c r="X263" s="4">
        <v>-2635287687</v>
      </c>
      <c r="Y263" s="4">
        <v>-3202952347</v>
      </c>
      <c r="Z263" s="4">
        <v>-2425639296</v>
      </c>
    </row>
    <row r="264" spans="1:26" s="1" customFormat="1" ht="12.5" x14ac:dyDescent="0.25">
      <c r="A264" s="1" t="s">
        <v>431</v>
      </c>
      <c r="B264" s="1" t="s">
        <v>21</v>
      </c>
      <c r="C264" s="1" t="s">
        <v>21</v>
      </c>
      <c r="D264" s="1" t="s">
        <v>21</v>
      </c>
      <c r="E264" s="1" t="s">
        <v>21</v>
      </c>
      <c r="F264" s="1" t="s">
        <v>21</v>
      </c>
      <c r="G264" s="1" t="s">
        <v>21</v>
      </c>
      <c r="H264" s="1" t="s">
        <v>21</v>
      </c>
      <c r="I264" s="4">
        <v>9678</v>
      </c>
      <c r="J264" s="4">
        <v>527701983</v>
      </c>
      <c r="K264" s="4">
        <v>1343474844</v>
      </c>
      <c r="L264" s="4">
        <v>2025010698</v>
      </c>
      <c r="M264" s="6">
        <f>Table2[[#This Row],[2025]]/SUM(Table2[2025])</f>
        <v>1.2749456862122091E-4</v>
      </c>
      <c r="N264" s="4"/>
      <c r="O264" s="1" t="s">
        <v>255</v>
      </c>
      <c r="P264" s="4">
        <v>-7105180845</v>
      </c>
      <c r="Q264" s="4">
        <v>7887121470</v>
      </c>
      <c r="R264" s="4">
        <v>-4226809254</v>
      </c>
      <c r="S264" s="4">
        <v>5907543680</v>
      </c>
      <c r="T264" s="4">
        <v>-4880476705</v>
      </c>
      <c r="U264" s="4">
        <v>-5799868003</v>
      </c>
      <c r="V264" s="4">
        <v>30504008103</v>
      </c>
      <c r="W264" s="4">
        <v>6262506493</v>
      </c>
      <c r="X264" s="4">
        <v>26162472984</v>
      </c>
      <c r="Y264" s="4">
        <v>24421657688</v>
      </c>
      <c r="Z264" s="4">
        <v>-14003601633</v>
      </c>
    </row>
    <row r="265" spans="1:26" s="1" customFormat="1" ht="12.5" x14ac:dyDescent="0.25">
      <c r="A265" s="1" t="s">
        <v>34</v>
      </c>
      <c r="B265" s="4">
        <v>66274222</v>
      </c>
      <c r="C265" s="4">
        <v>71898827</v>
      </c>
      <c r="D265" s="4">
        <v>82965028</v>
      </c>
      <c r="E265" s="4">
        <v>86732851</v>
      </c>
      <c r="F265" s="4">
        <v>393901459</v>
      </c>
      <c r="G265" s="4">
        <v>746332008</v>
      </c>
      <c r="H265" s="4">
        <v>1167679222</v>
      </c>
      <c r="I265" s="4">
        <v>1165095283</v>
      </c>
      <c r="J265" s="4">
        <v>1664261632</v>
      </c>
      <c r="K265" s="4">
        <v>1567012553</v>
      </c>
      <c r="L265" s="4">
        <v>1984475936</v>
      </c>
      <c r="M265" s="6">
        <f>Table2[[#This Row],[2025]]/SUM(Table2[2025])</f>
        <v>1.2494250210598817E-4</v>
      </c>
      <c r="N265" s="4"/>
      <c r="O265" s="1" t="s">
        <v>256</v>
      </c>
      <c r="P265" s="4">
        <v>7002088049</v>
      </c>
      <c r="Q265" s="4">
        <v>-1070296907</v>
      </c>
      <c r="R265" s="4">
        <v>-399543475</v>
      </c>
      <c r="S265" s="4">
        <v>-992819518</v>
      </c>
      <c r="T265" s="4">
        <v>-5432451763</v>
      </c>
      <c r="U265" s="4">
        <v>-4537925989</v>
      </c>
      <c r="V265" s="4">
        <v>-2288760308</v>
      </c>
      <c r="W265" s="4">
        <v>-3878720194</v>
      </c>
      <c r="X265" s="4">
        <v>-3759026001</v>
      </c>
      <c r="Y265" s="4">
        <v>-3459129409</v>
      </c>
      <c r="Z265" s="4">
        <v>-3508462759</v>
      </c>
    </row>
    <row r="266" spans="1:26" s="1" customFormat="1" ht="12.5" x14ac:dyDescent="0.25">
      <c r="A266" s="1" t="s">
        <v>140</v>
      </c>
      <c r="B266" s="4">
        <v>1387298029</v>
      </c>
      <c r="C266" s="4">
        <v>2393373064</v>
      </c>
      <c r="D266" s="4">
        <v>1002893165</v>
      </c>
      <c r="E266" s="4">
        <v>639086350</v>
      </c>
      <c r="F266" s="4">
        <v>888942813</v>
      </c>
      <c r="G266" s="4">
        <v>1862739758</v>
      </c>
      <c r="H266" s="4">
        <v>2268754489</v>
      </c>
      <c r="I266" s="4">
        <v>1746468228</v>
      </c>
      <c r="J266" s="4">
        <v>2144529826</v>
      </c>
      <c r="K266" s="4">
        <v>2624290299</v>
      </c>
      <c r="L266" s="4">
        <v>1968327861</v>
      </c>
      <c r="M266" s="6">
        <f>Table2[[#This Row],[2025]]/SUM(Table2[2025])</f>
        <v>1.2392582014069214E-4</v>
      </c>
      <c r="N266" s="4"/>
      <c r="O266" s="1" t="s">
        <v>257</v>
      </c>
      <c r="P266" s="4">
        <v>-4457874340</v>
      </c>
      <c r="Q266" s="4">
        <v>-6380304202</v>
      </c>
      <c r="R266" s="4">
        <v>3962399259</v>
      </c>
      <c r="S266" s="4">
        <v>-2736833879</v>
      </c>
      <c r="T266" s="4">
        <v>-4178428352</v>
      </c>
      <c r="U266" s="4">
        <v>-17818034604</v>
      </c>
      <c r="V266" s="4">
        <v>-10367299775</v>
      </c>
      <c r="W266" s="4">
        <v>-33344597</v>
      </c>
      <c r="X266" s="4">
        <v>3271870002</v>
      </c>
      <c r="Y266" s="4">
        <v>13992198556</v>
      </c>
      <c r="Z266" s="4">
        <v>31746210638</v>
      </c>
    </row>
    <row r="267" spans="1:26" s="1" customFormat="1" ht="12.5" x14ac:dyDescent="0.25">
      <c r="A267" s="1" t="s">
        <v>352</v>
      </c>
      <c r="B267" s="1" t="s">
        <v>21</v>
      </c>
      <c r="C267" s="1" t="s">
        <v>21</v>
      </c>
      <c r="D267" s="1" t="s">
        <v>21</v>
      </c>
      <c r="E267" s="4">
        <v>721477689</v>
      </c>
      <c r="F267" s="4">
        <v>888912692</v>
      </c>
      <c r="G267" s="4">
        <v>286962181</v>
      </c>
      <c r="H267" s="4">
        <v>155691236</v>
      </c>
      <c r="I267" s="4">
        <v>420314194</v>
      </c>
      <c r="J267" s="4">
        <v>782889795</v>
      </c>
      <c r="K267" s="4">
        <v>1348956576</v>
      </c>
      <c r="L267" s="4">
        <v>1938104482</v>
      </c>
      <c r="M267" s="6">
        <f>Table2[[#This Row],[2025]]/SUM(Table2[2025])</f>
        <v>1.2202295776486055E-4</v>
      </c>
      <c r="N267" s="4"/>
      <c r="O267" s="1" t="s">
        <v>258</v>
      </c>
      <c r="P267" s="4">
        <v>10328658241</v>
      </c>
      <c r="Q267" s="4">
        <v>4486062722</v>
      </c>
      <c r="R267" s="4">
        <v>9932184659</v>
      </c>
      <c r="S267" s="4">
        <v>10211375284</v>
      </c>
      <c r="T267" s="4">
        <v>2108411266</v>
      </c>
      <c r="U267" s="4">
        <v>-196521090</v>
      </c>
      <c r="V267" s="4">
        <v>7710101226</v>
      </c>
      <c r="W267" s="4">
        <v>7125630961</v>
      </c>
      <c r="X267" s="4">
        <v>7322203007</v>
      </c>
      <c r="Y267" s="4">
        <v>10203259879</v>
      </c>
      <c r="Z267" s="4">
        <v>13650745766</v>
      </c>
    </row>
    <row r="268" spans="1:26" s="1" customFormat="1" ht="12.5" x14ac:dyDescent="0.25">
      <c r="A268" s="1" t="s">
        <v>176</v>
      </c>
      <c r="B268" s="4">
        <v>2545822014</v>
      </c>
      <c r="C268" s="4">
        <v>2740368791</v>
      </c>
      <c r="D268" s="4">
        <v>2815362255</v>
      </c>
      <c r="E268" s="4">
        <v>2661201680</v>
      </c>
      <c r="F268" s="4">
        <v>2740487862</v>
      </c>
      <c r="G268" s="4">
        <v>2559888268</v>
      </c>
      <c r="H268" s="4">
        <v>2280803345</v>
      </c>
      <c r="I268" s="4">
        <v>2038227520</v>
      </c>
      <c r="J268" s="4">
        <v>1982131588</v>
      </c>
      <c r="K268" s="4">
        <v>1874903467</v>
      </c>
      <c r="L268" s="4">
        <v>1883449608</v>
      </c>
      <c r="M268" s="6">
        <f>Table2[[#This Row],[2025]]/SUM(Table2[2025])</f>
        <v>1.1858188972973396E-4</v>
      </c>
      <c r="N268" s="4"/>
      <c r="O268" s="1" t="s">
        <v>259</v>
      </c>
      <c r="P268" s="4">
        <v>15701391607</v>
      </c>
      <c r="Q268" s="4">
        <v>19764635166</v>
      </c>
      <c r="R268" s="4">
        <v>52124312975</v>
      </c>
      <c r="S268" s="4">
        <v>23111644231</v>
      </c>
      <c r="T268" s="4">
        <v>-9734237070</v>
      </c>
      <c r="U268" s="4">
        <v>44815277275</v>
      </c>
      <c r="V268" s="4">
        <v>114261671298</v>
      </c>
      <c r="W268" s="4">
        <v>-31641091050</v>
      </c>
      <c r="X268" s="4">
        <v>-58395938214</v>
      </c>
      <c r="Y268" s="4">
        <v>-5886561413</v>
      </c>
      <c r="Z268" s="4">
        <v>-4822665360</v>
      </c>
    </row>
    <row r="269" spans="1:26" s="1" customFormat="1" ht="12.5" x14ac:dyDescent="0.25">
      <c r="A269" s="1" t="s">
        <v>435</v>
      </c>
      <c r="B269" s="1" t="s">
        <v>21</v>
      </c>
      <c r="C269" s="1" t="s">
        <v>21</v>
      </c>
      <c r="D269" s="1" t="s">
        <v>21</v>
      </c>
      <c r="E269" s="1" t="s">
        <v>21</v>
      </c>
      <c r="F269" s="1" t="s">
        <v>21</v>
      </c>
      <c r="G269" s="1" t="s">
        <v>21</v>
      </c>
      <c r="H269" s="1" t="s">
        <v>21</v>
      </c>
      <c r="I269" s="4">
        <v>92604345</v>
      </c>
      <c r="J269" s="4">
        <v>542474065</v>
      </c>
      <c r="K269" s="4">
        <v>845488538</v>
      </c>
      <c r="L269" s="4">
        <v>1792023711</v>
      </c>
      <c r="M269" s="6">
        <f>Table2[[#This Row],[2025]]/SUM(Table2[2025])</f>
        <v>1.128257199917985E-4</v>
      </c>
      <c r="N269" s="4"/>
      <c r="O269" s="1" t="s">
        <v>260</v>
      </c>
      <c r="P269" s="4">
        <v>-22744368860</v>
      </c>
      <c r="Q269" s="4">
        <v>-14049990994</v>
      </c>
      <c r="R269" s="4">
        <v>-18639437935</v>
      </c>
      <c r="S269" s="4">
        <v>-14197142762</v>
      </c>
      <c r="T269" s="4">
        <v>-6133380985</v>
      </c>
      <c r="U269" s="4">
        <v>-4894629973</v>
      </c>
      <c r="V269" s="4">
        <v>-1418466657</v>
      </c>
      <c r="W269" s="4">
        <v>-4425973508</v>
      </c>
      <c r="X269" s="4">
        <v>-984650185</v>
      </c>
      <c r="Y269" s="4">
        <v>-1043043030</v>
      </c>
      <c r="Z269" s="4">
        <v>-2109582823</v>
      </c>
    </row>
    <row r="270" spans="1:26" s="1" customFormat="1" ht="12.5" x14ac:dyDescent="0.25">
      <c r="A270" s="1" t="s">
        <v>109</v>
      </c>
      <c r="B270" s="4">
        <v>744937775</v>
      </c>
      <c r="C270" s="4">
        <v>1080685590</v>
      </c>
      <c r="D270" s="4">
        <v>1111450772</v>
      </c>
      <c r="E270" s="4">
        <v>1077878968</v>
      </c>
      <c r="F270" s="4">
        <v>1080435801</v>
      </c>
      <c r="G270" s="4">
        <v>1258048662</v>
      </c>
      <c r="H270" s="4">
        <v>1511970367</v>
      </c>
      <c r="I270" s="4">
        <v>1438006392</v>
      </c>
      <c r="J270" s="4">
        <v>1472599200</v>
      </c>
      <c r="K270" s="4">
        <v>1613873471</v>
      </c>
      <c r="L270" s="4">
        <v>1765548945</v>
      </c>
      <c r="M270" s="6">
        <f>Table2[[#This Row],[2025]]/SUM(Table2[2025])</f>
        <v>1.111588700962145E-4</v>
      </c>
      <c r="N270" s="4"/>
      <c r="O270" s="1" t="s">
        <v>261</v>
      </c>
      <c r="P270" s="4">
        <v>-7649374509</v>
      </c>
      <c r="Q270" s="4">
        <v>4725837288</v>
      </c>
      <c r="R270" s="4">
        <v>12625293282</v>
      </c>
      <c r="S270" s="4">
        <v>19227908698</v>
      </c>
      <c r="T270" s="4">
        <v>-10915806777</v>
      </c>
      <c r="U270" s="4">
        <v>23312652615</v>
      </c>
      <c r="V270" s="4">
        <v>9872737224</v>
      </c>
      <c r="W270" s="4">
        <v>-46700523678</v>
      </c>
      <c r="X270" s="4">
        <v>-32462724084</v>
      </c>
      <c r="Y270" s="4">
        <v>10816411938</v>
      </c>
      <c r="Z270" s="4">
        <v>-64114817364</v>
      </c>
    </row>
    <row r="271" spans="1:26" s="1" customFormat="1" ht="12.5" x14ac:dyDescent="0.25">
      <c r="A271" s="1" t="s">
        <v>141</v>
      </c>
      <c r="B271" s="4">
        <v>1408941389</v>
      </c>
      <c r="C271" s="4">
        <v>905667825</v>
      </c>
      <c r="D271" s="4">
        <v>983807322</v>
      </c>
      <c r="E271" s="4">
        <v>891170631</v>
      </c>
      <c r="F271" s="4">
        <v>875720154</v>
      </c>
      <c r="G271" s="4">
        <v>890515443</v>
      </c>
      <c r="H271" s="4">
        <v>1147370805</v>
      </c>
      <c r="I271" s="4">
        <v>1104816282</v>
      </c>
      <c r="J271" s="4">
        <v>1151523300</v>
      </c>
      <c r="K271" s="4">
        <v>1565016848</v>
      </c>
      <c r="L271" s="4">
        <v>1738187211</v>
      </c>
      <c r="M271" s="6">
        <f>Table2[[#This Row],[2025]]/SUM(Table2[2025])</f>
        <v>1.0943617674130829E-4</v>
      </c>
      <c r="N271" s="4"/>
      <c r="O271" s="1" t="s">
        <v>262</v>
      </c>
      <c r="P271" s="4">
        <v>-2268694381</v>
      </c>
      <c r="Q271" s="4">
        <v>885127078</v>
      </c>
      <c r="R271" s="4">
        <v>-2228117298</v>
      </c>
      <c r="S271" s="4">
        <v>-12933770134</v>
      </c>
      <c r="T271" s="4">
        <v>-5167236909</v>
      </c>
      <c r="U271" s="4">
        <v>-7721673838</v>
      </c>
      <c r="V271" s="4">
        <v>3507940485</v>
      </c>
      <c r="W271" s="4">
        <v>-1101345956</v>
      </c>
      <c r="X271" s="4">
        <v>-10020792876</v>
      </c>
      <c r="Y271" s="4">
        <v>2192757233</v>
      </c>
      <c r="Z271" s="4">
        <v>-1291655225</v>
      </c>
    </row>
    <row r="272" spans="1:26" s="1" customFormat="1" ht="12.5" x14ac:dyDescent="0.25">
      <c r="A272" s="1" t="s">
        <v>143</v>
      </c>
      <c r="B272" s="4">
        <v>1452726026</v>
      </c>
      <c r="C272" s="4">
        <v>1267026276</v>
      </c>
      <c r="D272" s="4">
        <v>1385456701</v>
      </c>
      <c r="E272" s="4">
        <v>1258940925</v>
      </c>
      <c r="F272" s="4">
        <v>1284306330</v>
      </c>
      <c r="G272" s="4">
        <v>1280796267</v>
      </c>
      <c r="H272" s="4">
        <v>2398290040</v>
      </c>
      <c r="I272" s="4">
        <v>2049830530</v>
      </c>
      <c r="J272" s="4">
        <v>1947226401</v>
      </c>
      <c r="K272" s="4">
        <v>1993526134</v>
      </c>
      <c r="L272" s="4">
        <v>1728502320</v>
      </c>
      <c r="M272" s="6">
        <f>Table2[[#This Row],[2025]]/SUM(Table2[2025])</f>
        <v>1.0882641650576579E-4</v>
      </c>
      <c r="N272" s="4"/>
      <c r="O272" s="1" t="s">
        <v>263</v>
      </c>
      <c r="P272" s="4">
        <v>-8019757445</v>
      </c>
      <c r="Q272" s="4">
        <v>-10006971185</v>
      </c>
      <c r="R272" s="4">
        <v>-9340127573</v>
      </c>
      <c r="S272" s="4">
        <v>-13527194423</v>
      </c>
      <c r="T272" s="4">
        <v>-22797389106</v>
      </c>
      <c r="U272" s="4">
        <v>-10825097158</v>
      </c>
      <c r="V272" s="4">
        <v>-2703635760</v>
      </c>
      <c r="W272" s="4">
        <v>-5958133212</v>
      </c>
      <c r="X272" s="4">
        <v>-315663357</v>
      </c>
      <c r="Y272" s="4">
        <v>117168308</v>
      </c>
      <c r="Z272" s="4">
        <v>-500758937</v>
      </c>
    </row>
    <row r="273" spans="1:26" s="1" customFormat="1" ht="12.5" x14ac:dyDescent="0.25">
      <c r="A273" s="1" t="s">
        <v>357</v>
      </c>
      <c r="B273" s="1" t="s">
        <v>21</v>
      </c>
      <c r="C273" s="1" t="s">
        <v>21</v>
      </c>
      <c r="D273" s="1" t="s">
        <v>21</v>
      </c>
      <c r="E273" s="4">
        <v>253927509</v>
      </c>
      <c r="F273" s="4">
        <v>374657224</v>
      </c>
      <c r="G273" s="4">
        <v>602388730</v>
      </c>
      <c r="H273" s="4">
        <v>730165127</v>
      </c>
      <c r="I273" s="4">
        <v>847426998</v>
      </c>
      <c r="J273" s="4">
        <v>1168366375</v>
      </c>
      <c r="K273" s="4">
        <v>1289819836</v>
      </c>
      <c r="L273" s="4">
        <v>1712154405</v>
      </c>
      <c r="M273" s="6">
        <f>Table2[[#This Row],[2025]]/SUM(Table2[2025])</f>
        <v>1.0779715262442437E-4</v>
      </c>
      <c r="N273" s="4"/>
      <c r="O273" s="1" t="s">
        <v>264</v>
      </c>
      <c r="P273" s="4">
        <v>9248827021</v>
      </c>
      <c r="Q273" s="4">
        <v>1934849135</v>
      </c>
      <c r="R273" s="4">
        <v>952275224</v>
      </c>
      <c r="S273" s="4">
        <v>-1150006190</v>
      </c>
      <c r="T273" s="4">
        <v>3968371558</v>
      </c>
      <c r="U273" s="4">
        <v>10811752597</v>
      </c>
      <c r="V273" s="4">
        <v>-621885238</v>
      </c>
      <c r="W273" s="4">
        <v>-2553891679</v>
      </c>
      <c r="X273" s="4">
        <v>-11493111750</v>
      </c>
      <c r="Y273" s="4">
        <v>320046193</v>
      </c>
      <c r="Z273" s="4">
        <v>-2391053908</v>
      </c>
    </row>
    <row r="274" spans="1:26" s="1" customFormat="1" ht="12.5" x14ac:dyDescent="0.25">
      <c r="A274" s="1" t="s">
        <v>92</v>
      </c>
      <c r="B274" s="4">
        <v>567547365</v>
      </c>
      <c r="C274" s="4">
        <v>570627317</v>
      </c>
      <c r="D274" s="4">
        <v>659992467</v>
      </c>
      <c r="E274" s="4">
        <v>641548655</v>
      </c>
      <c r="F274" s="4">
        <v>725052944</v>
      </c>
      <c r="G274" s="4">
        <v>859120917</v>
      </c>
      <c r="H274" s="4">
        <v>1089006892</v>
      </c>
      <c r="I274" s="4">
        <v>1076307749</v>
      </c>
      <c r="J274" s="4">
        <v>1208295420</v>
      </c>
      <c r="K274" s="4">
        <v>1398889745</v>
      </c>
      <c r="L274" s="4">
        <v>1707092500</v>
      </c>
      <c r="M274" s="6">
        <f>Table2[[#This Row],[2025]]/SUM(Table2[2025])</f>
        <v>1.0747845534790431E-4</v>
      </c>
      <c r="N274" s="4"/>
      <c r="O274" s="1" t="s">
        <v>265</v>
      </c>
      <c r="P274" s="4">
        <v>-12492059888</v>
      </c>
      <c r="Q274" s="4">
        <v>4918578337</v>
      </c>
      <c r="R274" s="4">
        <v>3901599258</v>
      </c>
      <c r="S274" s="4">
        <v>-12219420855</v>
      </c>
      <c r="T274" s="4">
        <v>3775471519</v>
      </c>
      <c r="U274" s="4">
        <v>-15093075255</v>
      </c>
      <c r="V274" s="4">
        <v>-2282280700</v>
      </c>
      <c r="W274" s="4">
        <v>-330500963</v>
      </c>
      <c r="X274" s="4">
        <v>-5701225648</v>
      </c>
      <c r="Y274" s="4">
        <v>3849927683</v>
      </c>
      <c r="Z274" s="4">
        <v>-7966296005</v>
      </c>
    </row>
    <row r="275" spans="1:26" s="1" customFormat="1" ht="12.5" x14ac:dyDescent="0.25">
      <c r="A275" s="1" t="s">
        <v>97</v>
      </c>
      <c r="B275" s="4">
        <v>608105227</v>
      </c>
      <c r="C275" s="4">
        <v>654243574</v>
      </c>
      <c r="D275" s="4">
        <v>661963542</v>
      </c>
      <c r="E275" s="4">
        <v>654303035</v>
      </c>
      <c r="F275" s="4">
        <v>721471178</v>
      </c>
      <c r="G275" s="4">
        <v>901886484</v>
      </c>
      <c r="H275" s="4">
        <v>1181014577</v>
      </c>
      <c r="I275" s="4">
        <v>1182493391</v>
      </c>
      <c r="J275" s="4">
        <v>1351876781</v>
      </c>
      <c r="K275" s="4">
        <v>1557412708</v>
      </c>
      <c r="L275" s="4">
        <v>1702602048</v>
      </c>
      <c r="M275" s="6">
        <f>Table2[[#This Row],[2025]]/SUM(Table2[2025])</f>
        <v>1.071957367226547E-4</v>
      </c>
      <c r="N275" s="4"/>
      <c r="O275" s="1" t="s">
        <v>266</v>
      </c>
      <c r="P275" s="4">
        <v>7500456948</v>
      </c>
      <c r="Q275" s="4">
        <v>8753760905</v>
      </c>
      <c r="R275" s="4">
        <v>6789018791</v>
      </c>
      <c r="S275" s="4">
        <v>6492577251</v>
      </c>
      <c r="T275" s="4">
        <v>97437605</v>
      </c>
      <c r="U275" s="4">
        <v>1564518798</v>
      </c>
      <c r="V275" s="4">
        <v>9293309531</v>
      </c>
      <c r="W275" s="4">
        <v>-8408313329</v>
      </c>
      <c r="X275" s="4">
        <v>-13053982580</v>
      </c>
      <c r="Y275" s="4">
        <v>-15556961124</v>
      </c>
      <c r="Z275" s="4">
        <v>7794737347</v>
      </c>
    </row>
    <row r="276" spans="1:26" s="1" customFormat="1" ht="12.5" x14ac:dyDescent="0.25">
      <c r="A276" s="1" t="s">
        <v>329</v>
      </c>
      <c r="B276" s="1" t="s">
        <v>21</v>
      </c>
      <c r="C276" s="1" t="s">
        <v>21</v>
      </c>
      <c r="D276" s="4">
        <v>82968197</v>
      </c>
      <c r="E276" s="4">
        <v>328482504</v>
      </c>
      <c r="F276" s="4">
        <v>715900317</v>
      </c>
      <c r="G276" s="4">
        <v>1197414838</v>
      </c>
      <c r="H276" s="4">
        <v>1856702254</v>
      </c>
      <c r="I276" s="4">
        <v>1921112381</v>
      </c>
      <c r="J276" s="4">
        <v>1738283501</v>
      </c>
      <c r="K276" s="4">
        <v>1580886974</v>
      </c>
      <c r="L276" s="4">
        <v>1697890202</v>
      </c>
      <c r="M276" s="6">
        <f>Table2[[#This Row],[2025]]/SUM(Table2[2025])</f>
        <v>1.0689907914263652E-4</v>
      </c>
      <c r="N276" s="4"/>
      <c r="O276" s="1" t="s">
        <v>267</v>
      </c>
      <c r="P276" s="4">
        <v>1258354162</v>
      </c>
      <c r="Q276" s="4">
        <v>7304494496</v>
      </c>
      <c r="R276" s="4">
        <v>26989342006</v>
      </c>
      <c r="S276" s="4">
        <v>41724199</v>
      </c>
      <c r="T276" s="4">
        <v>-1144912820</v>
      </c>
      <c r="U276" s="4">
        <v>-12817156417</v>
      </c>
      <c r="V276" s="4">
        <v>-4136306254</v>
      </c>
      <c r="W276" s="4">
        <v>15036272940</v>
      </c>
      <c r="X276" s="4">
        <v>11599888581</v>
      </c>
      <c r="Y276" s="4">
        <v>-20389850514</v>
      </c>
      <c r="Z276" s="4">
        <v>-9368504862</v>
      </c>
    </row>
    <row r="277" spans="1:26" s="1" customFormat="1" ht="12.5" x14ac:dyDescent="0.25">
      <c r="A277" s="1" t="s">
        <v>406</v>
      </c>
      <c r="B277" s="1" t="s">
        <v>21</v>
      </c>
      <c r="C277" s="1" t="s">
        <v>21</v>
      </c>
      <c r="D277" s="1" t="s">
        <v>21</v>
      </c>
      <c r="E277" s="1" t="s">
        <v>21</v>
      </c>
      <c r="F277" s="1" t="s">
        <v>21</v>
      </c>
      <c r="G277" s="4">
        <v>615550332</v>
      </c>
      <c r="H277" s="4">
        <v>739996535</v>
      </c>
      <c r="I277" s="4">
        <v>736774375</v>
      </c>
      <c r="J277" s="4">
        <v>949221774</v>
      </c>
      <c r="K277" s="4">
        <v>1329296503</v>
      </c>
      <c r="L277" s="4">
        <v>1606783457</v>
      </c>
      <c r="M277" s="6">
        <f>Table2[[#This Row],[2025]]/SUM(Table2[2025])</f>
        <v>1.0116300319808436E-4</v>
      </c>
      <c r="N277" s="4"/>
      <c r="O277" s="1" t="s">
        <v>268</v>
      </c>
      <c r="P277" s="4">
        <v>-2851229055</v>
      </c>
      <c r="Q277" s="4">
        <v>18886982740</v>
      </c>
      <c r="R277" s="4">
        <v>9435622045</v>
      </c>
      <c r="S277" s="4">
        <v>37535340016</v>
      </c>
      <c r="T277" s="4">
        <v>21386465680</v>
      </c>
      <c r="U277" s="4">
        <v>16267560838</v>
      </c>
      <c r="V277" s="4">
        <v>16000571582</v>
      </c>
      <c r="W277" s="4">
        <v>-51503773579</v>
      </c>
      <c r="X277" s="4">
        <v>20064260591</v>
      </c>
      <c r="Y277" s="4">
        <v>13289771206</v>
      </c>
      <c r="Z277" s="4">
        <v>6327281475</v>
      </c>
    </row>
    <row r="278" spans="1:26" s="1" customFormat="1" ht="12.5" x14ac:dyDescent="0.25">
      <c r="A278" s="1" t="s">
        <v>318</v>
      </c>
      <c r="B278" s="1" t="s">
        <v>21</v>
      </c>
      <c r="C278" s="4">
        <v>2160653</v>
      </c>
      <c r="D278" s="4">
        <v>60165672</v>
      </c>
      <c r="E278" s="4">
        <v>67219541</v>
      </c>
      <c r="F278" s="4">
        <v>105680093</v>
      </c>
      <c r="G278" s="4">
        <v>134305587</v>
      </c>
      <c r="H278" s="4">
        <v>217185596</v>
      </c>
      <c r="I278" s="4">
        <v>466674665</v>
      </c>
      <c r="J278" s="4">
        <v>605043683</v>
      </c>
      <c r="K278" s="4">
        <v>1293575623</v>
      </c>
      <c r="L278" s="4">
        <v>1594462166</v>
      </c>
      <c r="M278" s="6">
        <f>Table2[[#This Row],[2025]]/SUM(Table2[2025])</f>
        <v>1.0038725535514554E-4</v>
      </c>
      <c r="N278" s="4"/>
      <c r="O278" s="1" t="s">
        <v>269</v>
      </c>
      <c r="P278" s="4">
        <v>13677918654</v>
      </c>
      <c r="Q278" s="4">
        <v>-681060806</v>
      </c>
      <c r="R278" s="4">
        <v>-7349888482</v>
      </c>
      <c r="S278" s="4">
        <v>-16498646862</v>
      </c>
      <c r="T278" s="4">
        <v>-12126462046</v>
      </c>
      <c r="U278" s="4">
        <v>-4606832558</v>
      </c>
      <c r="V278" s="4">
        <v>-3523412185</v>
      </c>
      <c r="W278" s="4">
        <v>-4008765691</v>
      </c>
      <c r="X278" s="4">
        <v>-2750542752</v>
      </c>
      <c r="Y278" s="4">
        <v>-3877102871</v>
      </c>
      <c r="Z278" s="4">
        <v>-3789609755</v>
      </c>
    </row>
    <row r="279" spans="1:26" s="1" customFormat="1" ht="12.5" x14ac:dyDescent="0.25">
      <c r="A279" s="1" t="s">
        <v>327</v>
      </c>
      <c r="B279" s="1" t="s">
        <v>21</v>
      </c>
      <c r="C279" s="1" t="s">
        <v>21</v>
      </c>
      <c r="D279" s="4">
        <v>163723857</v>
      </c>
      <c r="E279" s="4">
        <v>269917242</v>
      </c>
      <c r="F279" s="4">
        <v>386683642</v>
      </c>
      <c r="G279" s="4">
        <v>384460970</v>
      </c>
      <c r="H279" s="4">
        <v>575060546</v>
      </c>
      <c r="I279" s="4">
        <v>712616328</v>
      </c>
      <c r="J279" s="4">
        <v>961944196</v>
      </c>
      <c r="K279" s="4">
        <v>1324860572</v>
      </c>
      <c r="L279" s="4">
        <v>1571742905</v>
      </c>
      <c r="M279" s="6">
        <f>Table2[[#This Row],[2025]]/SUM(Table2[2025])</f>
        <v>9.8956851859772045E-5</v>
      </c>
      <c r="N279" s="4"/>
      <c r="O279" s="1" t="s">
        <v>270</v>
      </c>
      <c r="P279" s="4">
        <v>-24759240044</v>
      </c>
      <c r="Q279" s="4">
        <v>-13878499264</v>
      </c>
      <c r="R279" s="4">
        <v>-14294416177</v>
      </c>
      <c r="S279" s="4">
        <v>-7955795446</v>
      </c>
      <c r="T279" s="4">
        <v>-10128829556</v>
      </c>
      <c r="U279" s="4">
        <v>-7933740983</v>
      </c>
      <c r="V279" s="4">
        <v>-5283066046</v>
      </c>
      <c r="W279" s="4">
        <v>-2388528114</v>
      </c>
      <c r="X279" s="4">
        <v>-5464570715</v>
      </c>
      <c r="Y279" s="4">
        <v>-8159353217</v>
      </c>
      <c r="Z279" s="4">
        <v>-5762603858</v>
      </c>
    </row>
    <row r="280" spans="1:26" s="1" customFormat="1" ht="12.5" x14ac:dyDescent="0.25">
      <c r="A280" s="1" t="s">
        <v>291</v>
      </c>
      <c r="B280" s="1" t="s">
        <v>21</v>
      </c>
      <c r="C280" s="4">
        <v>78179038</v>
      </c>
      <c r="D280" s="4">
        <v>665848303</v>
      </c>
      <c r="E280" s="4">
        <v>953733929</v>
      </c>
      <c r="F280" s="4">
        <v>941403647</v>
      </c>
      <c r="G280" s="4">
        <v>934751748</v>
      </c>
      <c r="H280" s="4">
        <v>1249466933</v>
      </c>
      <c r="I280" s="4">
        <v>1025498874</v>
      </c>
      <c r="J280" s="4">
        <v>1187523649</v>
      </c>
      <c r="K280" s="4">
        <v>1347436373</v>
      </c>
      <c r="L280" s="4">
        <v>1562863769</v>
      </c>
      <c r="M280" s="6">
        <f>Table2[[#This Row],[2025]]/SUM(Table2[2025])</f>
        <v>9.8397821917279774E-5</v>
      </c>
      <c r="N280" s="4"/>
      <c r="O280" s="1" t="s">
        <v>271</v>
      </c>
      <c r="P280" s="4">
        <v>8376072824</v>
      </c>
      <c r="Q280" s="4">
        <v>9450388044</v>
      </c>
      <c r="R280" s="4">
        <v>-1760071430</v>
      </c>
      <c r="S280" s="4">
        <v>11216143758</v>
      </c>
      <c r="T280" s="4">
        <v>35953208835</v>
      </c>
      <c r="U280" s="4">
        <v>23068640401</v>
      </c>
      <c r="V280" s="4">
        <v>5781376814</v>
      </c>
      <c r="W280" s="4">
        <v>-4609979613</v>
      </c>
      <c r="X280" s="4">
        <v>-18629912666</v>
      </c>
      <c r="Y280" s="4">
        <v>-33236403546</v>
      </c>
      <c r="Z280" s="4">
        <v>-33971012256</v>
      </c>
    </row>
    <row r="281" spans="1:26" s="1" customFormat="1" ht="12.5" x14ac:dyDescent="0.25">
      <c r="A281" s="1" t="s">
        <v>462</v>
      </c>
      <c r="B281" s="1" t="s">
        <v>21</v>
      </c>
      <c r="C281" s="1" t="s">
        <v>21</v>
      </c>
      <c r="D281" s="1" t="s">
        <v>21</v>
      </c>
      <c r="E281" s="1" t="s">
        <v>21</v>
      </c>
      <c r="F281" s="1" t="s">
        <v>21</v>
      </c>
      <c r="G281" s="1" t="s">
        <v>21</v>
      </c>
      <c r="H281" s="1" t="s">
        <v>21</v>
      </c>
      <c r="I281" s="1" t="s">
        <v>21</v>
      </c>
      <c r="J281" s="1" t="s">
        <v>21</v>
      </c>
      <c r="K281" s="4">
        <v>664829006</v>
      </c>
      <c r="L281" s="4">
        <v>1559682439</v>
      </c>
      <c r="M281" s="6">
        <f>Table2[[#This Row],[2025]]/SUM(Table2[2025])</f>
        <v>9.8197525545318712E-5</v>
      </c>
      <c r="N281" s="4"/>
      <c r="O281" s="1" t="s">
        <v>272</v>
      </c>
      <c r="P281" s="4">
        <v>19952994916</v>
      </c>
      <c r="Q281" s="4">
        <v>57867897541</v>
      </c>
      <c r="R281" s="4">
        <v>37877460994</v>
      </c>
      <c r="S281" s="4">
        <v>39434605039</v>
      </c>
      <c r="T281" s="4">
        <v>-16819555671</v>
      </c>
      <c r="U281" s="4">
        <v>20915007728</v>
      </c>
      <c r="V281" s="4">
        <v>15312090241</v>
      </c>
      <c r="W281" s="4">
        <v>-48051953320</v>
      </c>
      <c r="X281" s="4">
        <v>-34161141327</v>
      </c>
      <c r="Y281" s="4">
        <v>-79173054368</v>
      </c>
      <c r="Z281" s="4">
        <v>-156282039622</v>
      </c>
    </row>
    <row r="282" spans="1:26" s="1" customFormat="1" ht="12.5" x14ac:dyDescent="0.25">
      <c r="A282" s="1" t="s">
        <v>46</v>
      </c>
      <c r="B282" s="4">
        <v>133980462</v>
      </c>
      <c r="C282" s="4">
        <v>601251671</v>
      </c>
      <c r="D282" s="4">
        <v>910004333</v>
      </c>
      <c r="E282" s="4">
        <v>430616761</v>
      </c>
      <c r="F282" s="4">
        <v>458947681</v>
      </c>
      <c r="G282" s="4">
        <v>614159653</v>
      </c>
      <c r="H282" s="4">
        <v>646828815</v>
      </c>
      <c r="I282" s="4">
        <v>712590519</v>
      </c>
      <c r="J282" s="4">
        <v>992106082</v>
      </c>
      <c r="K282" s="4">
        <v>876444761</v>
      </c>
      <c r="L282" s="4">
        <v>1556449333</v>
      </c>
      <c r="M282" s="6">
        <f>Table2[[#This Row],[2025]]/SUM(Table2[2025])</f>
        <v>9.7993969359080386E-5</v>
      </c>
      <c r="N282" s="4"/>
      <c r="O282" s="1" t="s">
        <v>273</v>
      </c>
      <c r="P282" s="4">
        <v>-2577831947</v>
      </c>
      <c r="Q282" s="4">
        <v>1475146486</v>
      </c>
      <c r="R282" s="4">
        <v>868533036</v>
      </c>
      <c r="S282" s="4">
        <v>14237527407</v>
      </c>
      <c r="T282" s="4">
        <v>994447597</v>
      </c>
      <c r="U282" s="4">
        <v>22577986711</v>
      </c>
      <c r="V282" s="4">
        <v>44408928144</v>
      </c>
      <c r="W282" s="4">
        <v>-18251729456</v>
      </c>
      <c r="X282" s="4">
        <v>-15683554828</v>
      </c>
      <c r="Y282" s="4">
        <v>567184330</v>
      </c>
      <c r="Z282" s="4">
        <v>276458157</v>
      </c>
    </row>
    <row r="283" spans="1:26" s="1" customFormat="1" ht="12.5" x14ac:dyDescent="0.25">
      <c r="A283" s="1" t="s">
        <v>399</v>
      </c>
      <c r="B283" s="1" t="s">
        <v>21</v>
      </c>
      <c r="C283" s="1" t="s">
        <v>21</v>
      </c>
      <c r="D283" s="1" t="s">
        <v>21</v>
      </c>
      <c r="E283" s="1" t="s">
        <v>21</v>
      </c>
      <c r="F283" s="1" t="s">
        <v>21</v>
      </c>
      <c r="G283" s="4">
        <v>383605239</v>
      </c>
      <c r="H283" s="4">
        <v>1175029383</v>
      </c>
      <c r="I283" s="4">
        <v>1246821732</v>
      </c>
      <c r="J283" s="4">
        <v>1574366119</v>
      </c>
      <c r="K283" s="4">
        <v>1932517836</v>
      </c>
      <c r="L283" s="4">
        <v>1522998542</v>
      </c>
      <c r="M283" s="6">
        <f>Table2[[#This Row],[2025]]/SUM(Table2[2025])</f>
        <v>9.588790929095545E-5</v>
      </c>
      <c r="N283" s="4"/>
      <c r="O283" s="1" t="s">
        <v>274</v>
      </c>
      <c r="P283" s="4">
        <v>-30586229862</v>
      </c>
      <c r="Q283" s="4">
        <v>-16762630559</v>
      </c>
      <c r="R283" s="4">
        <v>-20146552024</v>
      </c>
      <c r="S283" s="4">
        <v>-10907928149</v>
      </c>
      <c r="T283" s="4">
        <v>-9475297989</v>
      </c>
      <c r="U283" s="4">
        <v>-52972295150</v>
      </c>
      <c r="V283" s="4">
        <v>-8886898450</v>
      </c>
      <c r="W283" s="4">
        <v>-2106023215</v>
      </c>
      <c r="X283" s="4">
        <v>-2441154208</v>
      </c>
      <c r="Y283" s="4">
        <v>-8418475205</v>
      </c>
      <c r="Z283" s="4">
        <v>-1999281692</v>
      </c>
    </row>
    <row r="284" spans="1:26" s="1" customFormat="1" ht="12.5" x14ac:dyDescent="0.25">
      <c r="A284" s="1" t="s">
        <v>470</v>
      </c>
      <c r="B284" s="1" t="s">
        <v>21</v>
      </c>
      <c r="C284" s="1" t="s">
        <v>21</v>
      </c>
      <c r="D284" s="1" t="s">
        <v>21</v>
      </c>
      <c r="E284" s="1" t="s">
        <v>21</v>
      </c>
      <c r="F284" s="1" t="s">
        <v>21</v>
      </c>
      <c r="G284" s="1" t="s">
        <v>21</v>
      </c>
      <c r="H284" s="1" t="s">
        <v>21</v>
      </c>
      <c r="I284" s="1" t="s">
        <v>21</v>
      </c>
      <c r="J284" s="1" t="s">
        <v>21</v>
      </c>
      <c r="K284" s="4">
        <v>1266026866</v>
      </c>
      <c r="L284" s="4">
        <v>1517832327</v>
      </c>
      <c r="M284" s="6">
        <f>Table2[[#This Row],[2025]]/SUM(Table2[2025])</f>
        <v>9.5562644662240153E-5</v>
      </c>
      <c r="N284" s="4"/>
      <c r="O284" s="1" t="s">
        <v>275</v>
      </c>
      <c r="P284" s="4">
        <v>6385911523</v>
      </c>
      <c r="Q284" s="4">
        <v>20198244981</v>
      </c>
      <c r="R284" s="4">
        <v>-1092354436</v>
      </c>
      <c r="S284" s="4">
        <v>-742519624</v>
      </c>
      <c r="T284" s="4">
        <v>8313468059</v>
      </c>
      <c r="U284" s="4">
        <v>44633947848</v>
      </c>
      <c r="V284" s="4">
        <v>21237866136</v>
      </c>
      <c r="W284" s="4">
        <v>-1072704991</v>
      </c>
      <c r="X284" s="4">
        <v>-8136165677</v>
      </c>
      <c r="Y284" s="4">
        <v>-12172569833</v>
      </c>
      <c r="Z284" s="4">
        <v>603301163</v>
      </c>
    </row>
    <row r="285" spans="1:26" s="1" customFormat="1" ht="12.5" x14ac:dyDescent="0.25">
      <c r="A285" s="1" t="s">
        <v>405</v>
      </c>
      <c r="B285" s="1" t="s">
        <v>21</v>
      </c>
      <c r="C285" s="1" t="s">
        <v>21</v>
      </c>
      <c r="D285" s="1" t="s">
        <v>21</v>
      </c>
      <c r="E285" s="1" t="s">
        <v>21</v>
      </c>
      <c r="F285" s="1" t="s">
        <v>21</v>
      </c>
      <c r="G285" s="4">
        <v>2528981206</v>
      </c>
      <c r="H285" s="4">
        <v>2650393214</v>
      </c>
      <c r="I285" s="4">
        <v>1592528260</v>
      </c>
      <c r="J285" s="4">
        <v>1457940850</v>
      </c>
      <c r="K285" s="4">
        <v>1822704279</v>
      </c>
      <c r="L285" s="4">
        <v>1517441077</v>
      </c>
      <c r="M285" s="6">
        <f>Table2[[#This Row],[2025]]/SUM(Table2[2025])</f>
        <v>9.5538011582512556E-5</v>
      </c>
      <c r="N285" s="4"/>
      <c r="O285" s="1" t="s">
        <v>276</v>
      </c>
      <c r="P285" s="4">
        <v>22660746358</v>
      </c>
      <c r="Q285" s="4">
        <v>17636430551</v>
      </c>
      <c r="R285" s="4">
        <v>16965292225</v>
      </c>
      <c r="S285" s="4">
        <v>-13163252170</v>
      </c>
      <c r="T285" s="4">
        <v>9087301595</v>
      </c>
      <c r="U285" s="4">
        <v>23224604264</v>
      </c>
      <c r="V285" s="4">
        <v>-1354181491</v>
      </c>
      <c r="W285" s="4">
        <v>-18059978462</v>
      </c>
      <c r="X285" s="4">
        <v>4193630221</v>
      </c>
      <c r="Y285" s="4">
        <v>-16165897680</v>
      </c>
      <c r="Z285" s="4">
        <v>-3503957075</v>
      </c>
    </row>
    <row r="286" spans="1:26" s="1" customFormat="1" ht="12.5" x14ac:dyDescent="0.25">
      <c r="A286" s="1" t="s">
        <v>324</v>
      </c>
      <c r="B286" s="1" t="s">
        <v>21</v>
      </c>
      <c r="C286" s="1" t="s">
        <v>21</v>
      </c>
      <c r="D286" s="4">
        <v>188135523</v>
      </c>
      <c r="E286" s="4">
        <v>136698768</v>
      </c>
      <c r="F286" s="4">
        <v>97728930</v>
      </c>
      <c r="G286" s="4">
        <v>97887239</v>
      </c>
      <c r="H286" s="4">
        <v>99210121</v>
      </c>
      <c r="I286" s="4">
        <v>77944766</v>
      </c>
      <c r="J286" s="4">
        <v>692498324</v>
      </c>
      <c r="K286" s="4">
        <v>892566955</v>
      </c>
      <c r="L286" s="4">
        <v>1516697316</v>
      </c>
      <c r="M286" s="6">
        <f>Table2[[#This Row],[2025]]/SUM(Table2[2025])</f>
        <v>9.5491184428490137E-5</v>
      </c>
      <c r="N286" s="4"/>
      <c r="O286" s="1" t="s">
        <v>277</v>
      </c>
      <c r="P286" s="4">
        <v>41229926135</v>
      </c>
      <c r="Q286" s="4">
        <v>9415467903</v>
      </c>
      <c r="R286" s="4">
        <v>99599282165</v>
      </c>
      <c r="S286" s="4">
        <v>175167606219</v>
      </c>
      <c r="T286" s="4">
        <v>-45760280735</v>
      </c>
      <c r="U286" s="4">
        <v>-26253537483</v>
      </c>
      <c r="V286" s="4">
        <v>212510739388</v>
      </c>
      <c r="W286" s="4">
        <v>130348651030</v>
      </c>
      <c r="X286" s="4">
        <v>93344484320</v>
      </c>
      <c r="Y286" s="4">
        <v>57789333108</v>
      </c>
      <c r="Z286" s="4">
        <v>52064770832</v>
      </c>
    </row>
    <row r="287" spans="1:26" s="1" customFormat="1" ht="12.5" x14ac:dyDescent="0.25">
      <c r="A287" s="1" t="s">
        <v>44</v>
      </c>
      <c r="B287" s="4">
        <v>108323844</v>
      </c>
      <c r="C287" s="4">
        <v>310517348</v>
      </c>
      <c r="D287" s="4">
        <v>319730651</v>
      </c>
      <c r="E287" s="4">
        <v>309039402</v>
      </c>
      <c r="F287" s="4">
        <v>365188303</v>
      </c>
      <c r="G287" s="4">
        <v>434012301</v>
      </c>
      <c r="H287" s="4">
        <v>531901405</v>
      </c>
      <c r="I287" s="4">
        <v>703726460</v>
      </c>
      <c r="J287" s="4">
        <v>940166967</v>
      </c>
      <c r="K287" s="4">
        <v>1250899735</v>
      </c>
      <c r="L287" s="4">
        <v>1506658070</v>
      </c>
      <c r="M287" s="6">
        <f>Table2[[#This Row],[2025]]/SUM(Table2[2025])</f>
        <v>9.4859114020508375E-5</v>
      </c>
      <c r="N287" s="4"/>
      <c r="O287" s="1" t="s">
        <v>278</v>
      </c>
      <c r="P287" s="4">
        <v>-10183369858</v>
      </c>
      <c r="Q287" s="4">
        <v>12556388441</v>
      </c>
      <c r="R287" s="4">
        <v>8179125213</v>
      </c>
      <c r="S287" s="4">
        <v>13841522362</v>
      </c>
      <c r="T287" s="4">
        <v>-7512023396</v>
      </c>
      <c r="U287" s="4">
        <v>-15113831687</v>
      </c>
      <c r="V287" s="4">
        <v>-11847192465</v>
      </c>
      <c r="W287" s="4">
        <v>-4048687949</v>
      </c>
      <c r="X287" s="4">
        <v>-4357626322</v>
      </c>
      <c r="Y287" s="4">
        <v>-8633588000</v>
      </c>
      <c r="Z287" s="4">
        <v>-741576234</v>
      </c>
    </row>
    <row r="288" spans="1:26" s="1" customFormat="1" ht="12.5" x14ac:dyDescent="0.25">
      <c r="A288" s="1" t="s">
        <v>61</v>
      </c>
      <c r="B288" s="4">
        <v>283414227</v>
      </c>
      <c r="C288" s="4">
        <v>1127218129</v>
      </c>
      <c r="D288" s="4">
        <v>1956186099</v>
      </c>
      <c r="E288" s="4">
        <v>2035015615</v>
      </c>
      <c r="F288" s="4">
        <v>2262149085</v>
      </c>
      <c r="G288" s="4">
        <v>3318853396</v>
      </c>
      <c r="H288" s="4">
        <v>3766852219</v>
      </c>
      <c r="I288" s="4">
        <v>2989008467</v>
      </c>
      <c r="J288" s="1" t="s">
        <v>21</v>
      </c>
      <c r="K288" s="4">
        <v>1966536322</v>
      </c>
      <c r="L288" s="4">
        <v>1500702054</v>
      </c>
      <c r="M288" s="6">
        <f>Table2[[#This Row],[2025]]/SUM(Table2[2025])</f>
        <v>9.4484123561756189E-5</v>
      </c>
      <c r="N288" s="4"/>
      <c r="O288" s="1" t="s">
        <v>279</v>
      </c>
      <c r="P288" s="4">
        <v>14789820541</v>
      </c>
      <c r="Q288" s="4">
        <v>-13127295406</v>
      </c>
      <c r="R288" s="4">
        <v>-1311239166</v>
      </c>
      <c r="S288" s="4">
        <v>-1769524088</v>
      </c>
      <c r="T288" s="4">
        <v>-6139620349</v>
      </c>
      <c r="U288" s="4">
        <v>-10998003879</v>
      </c>
      <c r="V288" s="4">
        <v>-6883364446</v>
      </c>
      <c r="W288" s="4">
        <v>-7630734429</v>
      </c>
      <c r="X288" s="4">
        <v>-14641774642</v>
      </c>
      <c r="Y288" s="4">
        <v>-13544369495</v>
      </c>
      <c r="Z288" s="4">
        <v>210275545</v>
      </c>
    </row>
    <row r="289" spans="1:26" s="1" customFormat="1" ht="12.5" x14ac:dyDescent="0.25">
      <c r="A289" s="1" t="s">
        <v>446</v>
      </c>
      <c r="B289" s="1" t="s">
        <v>21</v>
      </c>
      <c r="C289" s="1" t="s">
        <v>21</v>
      </c>
      <c r="D289" s="1" t="s">
        <v>21</v>
      </c>
      <c r="E289" s="1" t="s">
        <v>21</v>
      </c>
      <c r="F289" s="1" t="s">
        <v>21</v>
      </c>
      <c r="G289" s="1" t="s">
        <v>21</v>
      </c>
      <c r="H289" s="1" t="s">
        <v>21</v>
      </c>
      <c r="I289" s="4">
        <v>230276979</v>
      </c>
      <c r="J289" s="4">
        <v>941815627</v>
      </c>
      <c r="K289" s="4">
        <v>927300459</v>
      </c>
      <c r="L289" s="4">
        <v>1499144400</v>
      </c>
      <c r="M289" s="6">
        <f>Table2[[#This Row],[2025]]/SUM(Table2[2025])</f>
        <v>9.4386053746625207E-5</v>
      </c>
      <c r="N289" s="4"/>
      <c r="O289" s="1" t="s">
        <v>280</v>
      </c>
      <c r="P289" s="4">
        <v>8123349045</v>
      </c>
      <c r="Q289" s="4">
        <v>-34821636992</v>
      </c>
      <c r="R289" s="4">
        <v>-35316961416</v>
      </c>
      <c r="S289" s="4">
        <v>-19403833338</v>
      </c>
      <c r="T289" s="4">
        <v>-27058166577</v>
      </c>
      <c r="U289" s="4">
        <v>-24093822897</v>
      </c>
      <c r="V289" s="4">
        <v>-16794492247</v>
      </c>
      <c r="W289" s="4">
        <v>-5509624744</v>
      </c>
      <c r="X289" s="4">
        <v>-25665571351</v>
      </c>
      <c r="Y289" s="4">
        <v>-19624906215</v>
      </c>
      <c r="Z289" s="4">
        <v>-22186325311</v>
      </c>
    </row>
    <row r="290" spans="1:26" s="1" customFormat="1" ht="12.5" x14ac:dyDescent="0.25">
      <c r="A290" s="1" t="s">
        <v>320</v>
      </c>
      <c r="B290" s="1" t="s">
        <v>21</v>
      </c>
      <c r="C290" s="4">
        <v>262190556</v>
      </c>
      <c r="D290" s="4">
        <v>380786788</v>
      </c>
      <c r="E290" s="4">
        <v>572338152</v>
      </c>
      <c r="F290" s="4">
        <v>575027347</v>
      </c>
      <c r="G290" s="4">
        <v>674502376</v>
      </c>
      <c r="H290" s="4">
        <v>1161956915</v>
      </c>
      <c r="I290" s="4">
        <v>1230578754</v>
      </c>
      <c r="J290" s="4">
        <v>1442558159</v>
      </c>
      <c r="K290" s="4">
        <v>1535911365</v>
      </c>
      <c r="L290" s="4">
        <v>1487894401</v>
      </c>
      <c r="M290" s="6">
        <f>Table2[[#This Row],[2025]]/SUM(Table2[2025])</f>
        <v>9.3677754392497965E-5</v>
      </c>
      <c r="N290" s="4"/>
      <c r="O290" s="1" t="s">
        <v>281</v>
      </c>
      <c r="P290" s="4">
        <v>18615193443</v>
      </c>
      <c r="Q290" s="4">
        <v>82919167223</v>
      </c>
      <c r="R290" s="4">
        <v>10959945504</v>
      </c>
      <c r="S290" s="4">
        <v>40415421733</v>
      </c>
      <c r="T290" s="4">
        <v>174314525888</v>
      </c>
      <c r="U290" s="4">
        <v>145729358880</v>
      </c>
      <c r="V290" s="4">
        <v>24924835853</v>
      </c>
      <c r="W290" s="4">
        <v>-15041451550</v>
      </c>
      <c r="X290" s="4">
        <v>395899764570</v>
      </c>
      <c r="Y290" s="4">
        <v>389125787787</v>
      </c>
      <c r="Z290" s="4">
        <v>589025490256</v>
      </c>
    </row>
    <row r="291" spans="1:26" s="1" customFormat="1" ht="12.5" x14ac:dyDescent="0.25">
      <c r="A291" s="1" t="s">
        <v>159</v>
      </c>
      <c r="B291" s="4">
        <v>2016819602</v>
      </c>
      <c r="C291" s="4">
        <v>1055642194</v>
      </c>
      <c r="D291" s="4">
        <v>971170934</v>
      </c>
      <c r="E291" s="4">
        <v>1142987200</v>
      </c>
      <c r="F291" s="4">
        <v>1334688278</v>
      </c>
      <c r="G291" s="4">
        <v>1964114764</v>
      </c>
      <c r="H291" s="4">
        <v>2381405320</v>
      </c>
      <c r="I291" s="4">
        <v>1475105262</v>
      </c>
      <c r="J291" s="1" t="s">
        <v>21</v>
      </c>
      <c r="K291" s="4">
        <v>1732448259</v>
      </c>
      <c r="L291" s="4">
        <v>1472818080</v>
      </c>
      <c r="M291" s="6">
        <f>Table2[[#This Row],[2025]]/SUM(Table2[2025])</f>
        <v>9.2728550003509571E-5</v>
      </c>
      <c r="N291" s="4"/>
      <c r="O291" s="1" t="s">
        <v>282</v>
      </c>
      <c r="P291" s="4">
        <v>117252718066</v>
      </c>
      <c r="Q291" s="4">
        <v>10872208287</v>
      </c>
      <c r="R291" s="4">
        <v>125002313023</v>
      </c>
      <c r="S291" s="4">
        <v>-19965689189</v>
      </c>
      <c r="T291" s="4">
        <v>336854997330</v>
      </c>
      <c r="U291" s="4">
        <v>-132296482641</v>
      </c>
      <c r="V291" s="4">
        <v>-186850908968</v>
      </c>
      <c r="W291" s="4">
        <v>356858559292</v>
      </c>
      <c r="X291" s="4">
        <v>-23759272513</v>
      </c>
      <c r="Y291" s="4">
        <v>-17261016579</v>
      </c>
      <c r="Z291" s="4">
        <v>326092766989</v>
      </c>
    </row>
    <row r="292" spans="1:26" s="1" customFormat="1" ht="12.5" x14ac:dyDescent="0.25">
      <c r="A292" s="1" t="s">
        <v>153</v>
      </c>
      <c r="B292" s="4">
        <v>1721978526</v>
      </c>
      <c r="C292" s="4">
        <v>1384961323</v>
      </c>
      <c r="D292" s="4">
        <v>1240949686</v>
      </c>
      <c r="E292" s="4">
        <v>1069456152</v>
      </c>
      <c r="F292" s="4">
        <v>1034476736</v>
      </c>
      <c r="G292" s="4">
        <v>1107321929</v>
      </c>
      <c r="H292" s="4">
        <v>1256794006</v>
      </c>
      <c r="I292" s="4">
        <v>1141269287</v>
      </c>
      <c r="J292" s="4">
        <v>1283523453</v>
      </c>
      <c r="K292" s="4">
        <v>1405541514</v>
      </c>
      <c r="L292" s="4">
        <v>1450846820</v>
      </c>
      <c r="M292" s="6">
        <f>Table2[[#This Row],[2025]]/SUM(Table2[2025])</f>
        <v>9.1345240612338797E-5</v>
      </c>
      <c r="N292" s="4"/>
      <c r="O292" s="1" t="s">
        <v>283</v>
      </c>
      <c r="P292" s="4">
        <v>-216323013909</v>
      </c>
      <c r="Q292" s="4">
        <v>-195570244074</v>
      </c>
      <c r="R292" s="4">
        <v>-29594511113</v>
      </c>
      <c r="S292" s="4">
        <v>-88100563982</v>
      </c>
      <c r="T292" s="4">
        <v>-62403090498</v>
      </c>
      <c r="U292" s="4">
        <v>-90702533758</v>
      </c>
      <c r="V292" s="4">
        <v>-20407057851</v>
      </c>
      <c r="W292" s="4">
        <v>-27873263176</v>
      </c>
      <c r="X292" s="4">
        <v>-43796609241</v>
      </c>
      <c r="Y292" s="4">
        <v>-61874963647</v>
      </c>
      <c r="Z292" s="4">
        <v>-51503072362</v>
      </c>
    </row>
    <row r="293" spans="1:26" s="1" customFormat="1" ht="12.5" x14ac:dyDescent="0.25">
      <c r="A293" s="1" t="s">
        <v>477</v>
      </c>
      <c r="B293" s="1" t="s">
        <v>21</v>
      </c>
      <c r="C293" s="1" t="s">
        <v>21</v>
      </c>
      <c r="D293" s="1" t="s">
        <v>21</v>
      </c>
      <c r="E293" s="1" t="s">
        <v>21</v>
      </c>
      <c r="F293" s="1" t="s">
        <v>21</v>
      </c>
      <c r="G293" s="1" t="s">
        <v>21</v>
      </c>
      <c r="H293" s="1" t="s">
        <v>21</v>
      </c>
      <c r="I293" s="1" t="s">
        <v>21</v>
      </c>
      <c r="J293" s="1" t="s">
        <v>21</v>
      </c>
      <c r="K293" s="1" t="s">
        <v>21</v>
      </c>
      <c r="L293" s="4">
        <v>1431310519</v>
      </c>
      <c r="M293" s="6">
        <f>Table2[[#This Row],[2025]]/SUM(Table2[2025])</f>
        <v>9.0115236113641904E-5</v>
      </c>
      <c r="N293" s="4"/>
      <c r="O293" s="1" t="s">
        <v>284</v>
      </c>
      <c r="P293" s="4">
        <v>-328629384</v>
      </c>
      <c r="Q293" s="4">
        <v>63269830</v>
      </c>
      <c r="R293" s="4">
        <v>2453344042</v>
      </c>
      <c r="S293" s="4">
        <v>2665734699</v>
      </c>
      <c r="T293" s="4">
        <v>3224806242</v>
      </c>
      <c r="U293" s="4">
        <v>6878983208</v>
      </c>
      <c r="V293" s="4">
        <v>5585389213</v>
      </c>
      <c r="W293" s="4">
        <v>-9467844238</v>
      </c>
      <c r="X293" s="4">
        <v>-1633713449</v>
      </c>
      <c r="Y293" s="4">
        <v>-7861547188</v>
      </c>
      <c r="Z293" s="4">
        <v>6718127968</v>
      </c>
    </row>
    <row r="294" spans="1:26" s="1" customFormat="1" ht="12.5" x14ac:dyDescent="0.25">
      <c r="A294" s="1" t="s">
        <v>411</v>
      </c>
      <c r="B294" s="1" t="s">
        <v>21</v>
      </c>
      <c r="C294" s="1" t="s">
        <v>21</v>
      </c>
      <c r="D294" s="1" t="s">
        <v>21</v>
      </c>
      <c r="E294" s="1" t="s">
        <v>21</v>
      </c>
      <c r="F294" s="1" t="s">
        <v>21</v>
      </c>
      <c r="G294" s="1" t="s">
        <v>21</v>
      </c>
      <c r="H294" s="4">
        <v>454506965</v>
      </c>
      <c r="I294" s="4">
        <v>593493212</v>
      </c>
      <c r="J294" s="4">
        <v>711697687</v>
      </c>
      <c r="K294" s="4">
        <v>949249203</v>
      </c>
      <c r="L294" s="4">
        <v>1430243629</v>
      </c>
      <c r="M294" s="7">
        <f>Table2[[#This Row],[2025]]/SUM(Table2[2025])</f>
        <v>9.0048064774522242E-5</v>
      </c>
      <c r="O294" s="1" t="s">
        <v>285</v>
      </c>
      <c r="P294" s="4">
        <v>10286250</v>
      </c>
      <c r="Q294" s="1" t="s">
        <v>21</v>
      </c>
      <c r="R294" s="1" t="s">
        <v>21</v>
      </c>
      <c r="S294" s="1" t="s">
        <v>21</v>
      </c>
      <c r="T294" s="1" t="s">
        <v>21</v>
      </c>
      <c r="U294" s="1" t="s">
        <v>21</v>
      </c>
      <c r="V294" s="1" t="s">
        <v>21</v>
      </c>
      <c r="W294" s="1" t="s">
        <v>21</v>
      </c>
      <c r="X294" s="1" t="s">
        <v>21</v>
      </c>
      <c r="Y294" s="1" t="s">
        <v>21</v>
      </c>
      <c r="Z294" s="1" t="s">
        <v>21</v>
      </c>
    </row>
    <row r="295" spans="1:26" s="1" customFormat="1" ht="12.5" x14ac:dyDescent="0.25">
      <c r="A295" s="1" t="s">
        <v>57</v>
      </c>
      <c r="B295" s="4">
        <v>257308816</v>
      </c>
      <c r="C295" s="4">
        <v>369355683</v>
      </c>
      <c r="D295" s="4">
        <v>373583798</v>
      </c>
      <c r="E295" s="4">
        <v>412647952</v>
      </c>
      <c r="F295" s="4">
        <v>509407358</v>
      </c>
      <c r="G295" s="4">
        <v>607376634</v>
      </c>
      <c r="H295" s="4">
        <v>928749174</v>
      </c>
      <c r="I295" s="4">
        <v>811304096</v>
      </c>
      <c r="J295" s="4">
        <v>1017757962</v>
      </c>
      <c r="K295" s="4">
        <v>1221386520</v>
      </c>
      <c r="L295" s="4">
        <v>1412398989</v>
      </c>
      <c r="M295" s="7">
        <f>Table2[[#This Row],[2025]]/SUM(Table2[2025])</f>
        <v>8.892456716473284E-5</v>
      </c>
      <c r="O295" s="1" t="s">
        <v>286</v>
      </c>
      <c r="P295" s="4">
        <v>2582549</v>
      </c>
      <c r="Q295" s="1" t="s">
        <v>21</v>
      </c>
      <c r="R295" s="4">
        <v>-19285079</v>
      </c>
      <c r="S295" s="4">
        <v>-4526154</v>
      </c>
      <c r="T295" s="4">
        <v>15630275</v>
      </c>
      <c r="U295" s="4">
        <v>-4825375</v>
      </c>
      <c r="V295" s="4">
        <v>47124500</v>
      </c>
      <c r="W295" s="4">
        <v>-38222813</v>
      </c>
      <c r="X295" s="4">
        <v>48405344</v>
      </c>
      <c r="Y295" s="4">
        <v>-95741345</v>
      </c>
      <c r="Z295" s="4">
        <v>5614375</v>
      </c>
    </row>
    <row r="296" spans="1:26" s="1" customFormat="1" ht="12.5" x14ac:dyDescent="0.25">
      <c r="A296" s="1" t="s">
        <v>439</v>
      </c>
      <c r="B296" s="1" t="s">
        <v>21</v>
      </c>
      <c r="C296" s="1" t="s">
        <v>21</v>
      </c>
      <c r="D296" s="1" t="s">
        <v>21</v>
      </c>
      <c r="E296" s="1" t="s">
        <v>21</v>
      </c>
      <c r="F296" s="1" t="s">
        <v>21</v>
      </c>
      <c r="G296" s="1" t="s">
        <v>21</v>
      </c>
      <c r="H296" s="1" t="s">
        <v>21</v>
      </c>
      <c r="I296" s="4">
        <v>198373667</v>
      </c>
      <c r="J296" s="4">
        <v>451825397</v>
      </c>
      <c r="K296" s="4">
        <v>756413604</v>
      </c>
      <c r="L296" s="4">
        <v>1408159290</v>
      </c>
      <c r="M296" s="6">
        <f>Table2[[#This Row],[2025]]/SUM(Table2[2025])</f>
        <v>8.8657635935370595E-5</v>
      </c>
      <c r="N296" s="4"/>
      <c r="O296" s="1" t="s">
        <v>287</v>
      </c>
      <c r="P296" s="1" t="s">
        <v>21</v>
      </c>
      <c r="Q296" s="4">
        <v>996023</v>
      </c>
      <c r="R296" s="4">
        <v>101530721</v>
      </c>
      <c r="S296" s="4">
        <v>422417818</v>
      </c>
      <c r="T296" s="4">
        <v>11076488149</v>
      </c>
      <c r="U296" s="4">
        <v>3131919231</v>
      </c>
      <c r="V296" s="4">
        <v>4274195180</v>
      </c>
      <c r="W296" s="4">
        <v>6168573920</v>
      </c>
      <c r="X296" s="4">
        <v>3481448082</v>
      </c>
      <c r="Y296" s="4">
        <v>2473929477</v>
      </c>
      <c r="Z296" s="4">
        <v>81602649</v>
      </c>
    </row>
    <row r="297" spans="1:26" s="1" customFormat="1" ht="12.5" x14ac:dyDescent="0.25">
      <c r="A297" s="1" t="s">
        <v>50</v>
      </c>
      <c r="B297" s="4">
        <v>199624104</v>
      </c>
      <c r="C297" s="4">
        <v>249489935</v>
      </c>
      <c r="D297" s="4">
        <v>738780890</v>
      </c>
      <c r="E297" s="4">
        <v>799374561</v>
      </c>
      <c r="F297" s="4">
        <v>669636052</v>
      </c>
      <c r="G297" s="4">
        <v>587825602</v>
      </c>
      <c r="H297" s="4">
        <v>897939700</v>
      </c>
      <c r="I297" s="4">
        <v>1116718081</v>
      </c>
      <c r="J297" s="4">
        <v>1359389167</v>
      </c>
      <c r="K297" s="4">
        <v>1161329011</v>
      </c>
      <c r="L297" s="4">
        <v>1400562601</v>
      </c>
      <c r="M297" s="6">
        <f>Table2[[#This Row],[2025]]/SUM(Table2[2025])</f>
        <v>8.8179348789549025E-5</v>
      </c>
      <c r="N297" s="4"/>
      <c r="O297" s="1" t="s">
        <v>288</v>
      </c>
      <c r="P297" s="1" t="s">
        <v>21</v>
      </c>
      <c r="Q297" s="4">
        <v>4127991</v>
      </c>
      <c r="R297" s="4">
        <v>6772344</v>
      </c>
      <c r="S297" s="4">
        <v>5832321</v>
      </c>
      <c r="T297" s="4">
        <v>661927687</v>
      </c>
      <c r="U297" s="4">
        <v>-87071383</v>
      </c>
      <c r="V297" s="4">
        <v>402519651</v>
      </c>
      <c r="W297" s="4">
        <v>-23817524</v>
      </c>
      <c r="X297" s="4">
        <v>26398784</v>
      </c>
      <c r="Y297" s="4">
        <v>-76623728</v>
      </c>
      <c r="Z297" s="4">
        <v>419301200</v>
      </c>
    </row>
    <row r="298" spans="1:26" s="1" customFormat="1" ht="12.5" x14ac:dyDescent="0.25">
      <c r="A298" s="1" t="s">
        <v>40</v>
      </c>
      <c r="B298" s="4">
        <v>84139247</v>
      </c>
      <c r="C298" s="4">
        <v>57293819</v>
      </c>
      <c r="D298" s="4">
        <v>79122325</v>
      </c>
      <c r="E298" s="4">
        <v>93860902</v>
      </c>
      <c r="F298" s="4">
        <v>120220847</v>
      </c>
      <c r="G298" s="4">
        <v>174134455</v>
      </c>
      <c r="H298" s="4">
        <v>258439721</v>
      </c>
      <c r="I298" s="4">
        <v>804064362</v>
      </c>
      <c r="J298" s="4">
        <v>1027600611</v>
      </c>
      <c r="K298" s="4">
        <v>1075563619</v>
      </c>
      <c r="L298" s="4">
        <v>1377397521</v>
      </c>
      <c r="M298" s="6">
        <f>Table2[[#This Row],[2025]]/SUM(Table2[2025])</f>
        <v>8.6720876553035407E-5</v>
      </c>
      <c r="N298" s="4"/>
      <c r="O298" s="1" t="s">
        <v>289</v>
      </c>
      <c r="P298" s="1" t="s">
        <v>21</v>
      </c>
      <c r="Q298" s="4">
        <v>546504738</v>
      </c>
      <c r="R298" s="4">
        <v>-101489182</v>
      </c>
      <c r="S298" s="4">
        <v>-124821329</v>
      </c>
      <c r="T298" s="4">
        <v>-70265399</v>
      </c>
      <c r="U298" s="4">
        <v>-2375886</v>
      </c>
      <c r="V298" s="4">
        <v>6801204</v>
      </c>
      <c r="W298" s="4">
        <v>-271372195</v>
      </c>
      <c r="X298" s="4">
        <v>323020984</v>
      </c>
      <c r="Y298" s="4">
        <v>22672450</v>
      </c>
      <c r="Z298" s="4">
        <v>40027684</v>
      </c>
    </row>
    <row r="299" spans="1:26" s="1" customFormat="1" ht="12.5" x14ac:dyDescent="0.25">
      <c r="A299" s="1" t="s">
        <v>417</v>
      </c>
      <c r="B299" s="1" t="s">
        <v>21</v>
      </c>
      <c r="C299" s="1" t="s">
        <v>21</v>
      </c>
      <c r="D299" s="1" t="s">
        <v>21</v>
      </c>
      <c r="E299" s="1" t="s">
        <v>21</v>
      </c>
      <c r="F299" s="1" t="s">
        <v>21</v>
      </c>
      <c r="G299" s="1" t="s">
        <v>21</v>
      </c>
      <c r="H299" s="4">
        <v>462216887</v>
      </c>
      <c r="I299" s="4">
        <v>475423344</v>
      </c>
      <c r="J299" s="4">
        <v>1072047519</v>
      </c>
      <c r="K299" s="4">
        <v>1190494295</v>
      </c>
      <c r="L299" s="4">
        <v>1317970456</v>
      </c>
      <c r="M299" s="6">
        <f>Table2[[#This Row],[2025]]/SUM(Table2[2025])</f>
        <v>8.2979351619817362E-5</v>
      </c>
      <c r="N299" s="4"/>
      <c r="O299" s="1" t="s">
        <v>290</v>
      </c>
      <c r="P299" s="1" t="s">
        <v>21</v>
      </c>
      <c r="Q299" s="4">
        <v>241595803</v>
      </c>
      <c r="R299" s="4">
        <v>-24182451</v>
      </c>
      <c r="S299" s="4">
        <v>-27726841</v>
      </c>
      <c r="T299" s="4">
        <v>-12471627</v>
      </c>
      <c r="U299" s="4">
        <v>756667</v>
      </c>
      <c r="V299" s="4">
        <v>-8507912</v>
      </c>
      <c r="W299" s="4">
        <v>10184173</v>
      </c>
      <c r="X299" s="4">
        <v>-44451753</v>
      </c>
      <c r="Y299" s="4">
        <v>39100</v>
      </c>
      <c r="Z299" s="4">
        <v>-16015956</v>
      </c>
    </row>
    <row r="300" spans="1:26" s="1" customFormat="1" ht="12.5" x14ac:dyDescent="0.25">
      <c r="A300" s="1" t="s">
        <v>328</v>
      </c>
      <c r="B300" s="1" t="s">
        <v>21</v>
      </c>
      <c r="C300" s="1" t="s">
        <v>21</v>
      </c>
      <c r="D300" s="4">
        <v>73393616</v>
      </c>
      <c r="E300" s="4">
        <v>167726865</v>
      </c>
      <c r="F300" s="4">
        <v>363160014</v>
      </c>
      <c r="G300" s="4">
        <v>543596217</v>
      </c>
      <c r="H300" s="4">
        <v>598115144</v>
      </c>
      <c r="I300" s="4">
        <v>354257295</v>
      </c>
      <c r="J300" s="4">
        <v>571497187</v>
      </c>
      <c r="K300" s="4">
        <v>968489222</v>
      </c>
      <c r="L300" s="4">
        <v>1308132998</v>
      </c>
      <c r="M300" s="6">
        <f>Table2[[#This Row],[2025]]/SUM(Table2[2025])</f>
        <v>8.2359985773860058E-5</v>
      </c>
      <c r="N300" s="4"/>
      <c r="O300" s="1" t="s">
        <v>291</v>
      </c>
      <c r="P300" s="1" t="s">
        <v>21</v>
      </c>
      <c r="Q300" s="4">
        <v>78038845</v>
      </c>
      <c r="R300" s="4">
        <v>554666081</v>
      </c>
      <c r="S300" s="4">
        <v>310466026</v>
      </c>
      <c r="T300" s="4">
        <v>-99939261</v>
      </c>
      <c r="U300" s="4">
        <v>-45913271</v>
      </c>
      <c r="V300" s="4">
        <v>172373868</v>
      </c>
      <c r="W300" s="4">
        <v>-88570311</v>
      </c>
      <c r="X300" s="4">
        <v>-25015807</v>
      </c>
      <c r="Y300" s="4">
        <v>5017243</v>
      </c>
      <c r="Z300" s="4">
        <v>82681642</v>
      </c>
    </row>
    <row r="301" spans="1:26" s="1" customFormat="1" ht="12.5" x14ac:dyDescent="0.25">
      <c r="A301" s="1" t="s">
        <v>498</v>
      </c>
      <c r="B301" s="1" t="s">
        <v>21</v>
      </c>
      <c r="C301" s="1" t="s">
        <v>21</v>
      </c>
      <c r="D301" s="1" t="s">
        <v>21</v>
      </c>
      <c r="E301" s="1" t="s">
        <v>21</v>
      </c>
      <c r="F301" s="1" t="s">
        <v>21</v>
      </c>
      <c r="G301" s="1" t="s">
        <v>21</v>
      </c>
      <c r="H301" s="1" t="s">
        <v>21</v>
      </c>
      <c r="I301" s="1" t="s">
        <v>21</v>
      </c>
      <c r="J301" s="1" t="s">
        <v>21</v>
      </c>
      <c r="K301" s="1" t="s">
        <v>21</v>
      </c>
      <c r="L301" s="4">
        <v>1307618651</v>
      </c>
      <c r="M301" s="6">
        <f>Table2[[#This Row],[2025]]/SUM(Table2[2025])</f>
        <v>8.2327602513390674E-5</v>
      </c>
      <c r="N301" s="4"/>
      <c r="O301" s="1" t="s">
        <v>292</v>
      </c>
      <c r="P301" s="1" t="s">
        <v>21</v>
      </c>
      <c r="Q301" s="4">
        <v>512921891</v>
      </c>
      <c r="R301" s="4">
        <v>106896011</v>
      </c>
      <c r="S301" s="4">
        <v>69796886</v>
      </c>
      <c r="T301" s="4">
        <v>-67971257</v>
      </c>
      <c r="U301" s="4">
        <v>-71852808</v>
      </c>
      <c r="V301" s="4">
        <v>-22003625</v>
      </c>
      <c r="W301" s="4">
        <v>70436703</v>
      </c>
      <c r="X301" s="4">
        <v>67902839</v>
      </c>
      <c r="Y301" s="4">
        <v>62811726</v>
      </c>
      <c r="Z301" s="4">
        <v>-3884083</v>
      </c>
    </row>
    <row r="302" spans="1:26" s="1" customFormat="1" ht="12.5" x14ac:dyDescent="0.25">
      <c r="A302" s="1" t="s">
        <v>394</v>
      </c>
      <c r="B302" s="1" t="s">
        <v>21</v>
      </c>
      <c r="C302" s="1" t="s">
        <v>21</v>
      </c>
      <c r="D302" s="1" t="s">
        <v>21</v>
      </c>
      <c r="E302" s="1" t="s">
        <v>21</v>
      </c>
      <c r="F302" s="1" t="s">
        <v>21</v>
      </c>
      <c r="G302" s="4">
        <v>494878029</v>
      </c>
      <c r="H302" s="4">
        <v>701294337</v>
      </c>
      <c r="I302" s="4">
        <v>857721299</v>
      </c>
      <c r="J302" s="4">
        <v>1135847761</v>
      </c>
      <c r="K302" s="4">
        <v>1301693358</v>
      </c>
      <c r="L302" s="4">
        <v>1297660062</v>
      </c>
      <c r="M302" s="6">
        <f>Table2[[#This Row],[2025]]/SUM(Table2[2025])</f>
        <v>8.1700610265949693E-5</v>
      </c>
      <c r="N302" s="4"/>
      <c r="O302" s="1" t="s">
        <v>293</v>
      </c>
      <c r="P302" s="1" t="s">
        <v>21</v>
      </c>
      <c r="Q302" s="4">
        <v>1291106007</v>
      </c>
      <c r="R302" s="4">
        <v>19282480</v>
      </c>
      <c r="S302" s="4">
        <v>171245896</v>
      </c>
      <c r="T302" s="4">
        <v>27393909</v>
      </c>
      <c r="U302" s="4">
        <v>365309322</v>
      </c>
      <c r="V302" s="4">
        <v>2132664773</v>
      </c>
      <c r="W302" s="4">
        <v>3135461528</v>
      </c>
      <c r="X302" s="4">
        <v>3188323856</v>
      </c>
      <c r="Y302" s="4">
        <v>4953940576</v>
      </c>
      <c r="Z302" s="4">
        <v>7058433390</v>
      </c>
    </row>
    <row r="303" spans="1:26" s="1" customFormat="1" ht="12.5" x14ac:dyDescent="0.25">
      <c r="A303" s="1" t="s">
        <v>292</v>
      </c>
      <c r="B303" s="1" t="s">
        <v>21</v>
      </c>
      <c r="C303" s="4">
        <v>488667745</v>
      </c>
      <c r="D303" s="4">
        <v>637370510</v>
      </c>
      <c r="E303" s="4">
        <v>679433313</v>
      </c>
      <c r="F303" s="4">
        <v>679302837</v>
      </c>
      <c r="G303" s="4">
        <v>648724509</v>
      </c>
      <c r="H303" s="4">
        <v>750814266</v>
      </c>
      <c r="I303" s="4">
        <v>766856300</v>
      </c>
      <c r="J303" s="4">
        <v>983750489</v>
      </c>
      <c r="K303" s="4">
        <v>1165628962</v>
      </c>
      <c r="L303" s="4">
        <v>1295989644</v>
      </c>
      <c r="M303" s="6">
        <f>Table2[[#This Row],[2025]]/SUM(Table2[2025])</f>
        <v>8.1595440835221524E-5</v>
      </c>
      <c r="N303" s="4"/>
      <c r="O303" s="1" t="s">
        <v>294</v>
      </c>
      <c r="P303" s="1" t="s">
        <v>21</v>
      </c>
      <c r="Q303" s="4">
        <v>82772642</v>
      </c>
      <c r="R303" s="4">
        <v>-8786915</v>
      </c>
      <c r="S303" s="4">
        <v>9208304</v>
      </c>
      <c r="T303" s="4">
        <v>13499554</v>
      </c>
      <c r="U303" s="4">
        <v>66287382</v>
      </c>
      <c r="V303" s="4">
        <v>2612840</v>
      </c>
      <c r="W303" s="4">
        <v>6792921</v>
      </c>
      <c r="X303" s="4">
        <v>4063731</v>
      </c>
      <c r="Y303" s="4">
        <v>36369778</v>
      </c>
      <c r="Z303" s="4">
        <v>53388033</v>
      </c>
    </row>
    <row r="304" spans="1:26" s="1" customFormat="1" ht="12.5" x14ac:dyDescent="0.25">
      <c r="A304" s="1" t="s">
        <v>503</v>
      </c>
      <c r="B304" s="1" t="s">
        <v>21</v>
      </c>
      <c r="C304" s="1" t="s">
        <v>21</v>
      </c>
      <c r="D304" s="1" t="s">
        <v>21</v>
      </c>
      <c r="E304" s="1" t="s">
        <v>21</v>
      </c>
      <c r="F304" s="1" t="s">
        <v>21</v>
      </c>
      <c r="G304" s="1" t="s">
        <v>21</v>
      </c>
      <c r="H304" s="1" t="s">
        <v>21</v>
      </c>
      <c r="I304" s="1" t="s">
        <v>21</v>
      </c>
      <c r="J304" s="1" t="s">
        <v>21</v>
      </c>
      <c r="K304" s="1" t="s">
        <v>21</v>
      </c>
      <c r="L304" s="4">
        <v>1278913289</v>
      </c>
      <c r="M304" s="6">
        <f>Table2[[#This Row],[2025]]/SUM(Table2[2025])</f>
        <v>8.052031440922383E-5</v>
      </c>
      <c r="N304" s="4"/>
      <c r="O304" s="1" t="s">
        <v>295</v>
      </c>
      <c r="P304" s="1" t="s">
        <v>21</v>
      </c>
      <c r="Q304" s="1" t="s">
        <v>21</v>
      </c>
      <c r="R304" s="4">
        <v>17473717</v>
      </c>
      <c r="S304" s="4">
        <v>128621482</v>
      </c>
      <c r="T304" s="4">
        <v>26445905</v>
      </c>
      <c r="U304" s="4">
        <v>47247186</v>
      </c>
      <c r="V304" s="4">
        <v>37043010</v>
      </c>
      <c r="W304" s="4">
        <v>126815401</v>
      </c>
      <c r="X304" s="4">
        <v>5288450</v>
      </c>
      <c r="Y304" s="4">
        <v>133992158</v>
      </c>
      <c r="Z304" s="4">
        <v>121917001</v>
      </c>
    </row>
    <row r="305" spans="1:26" s="1" customFormat="1" ht="12.5" x14ac:dyDescent="0.25">
      <c r="A305" s="1" t="s">
        <v>124</v>
      </c>
      <c r="B305" s="4">
        <v>1163662926</v>
      </c>
      <c r="C305" s="4">
        <v>1056961454</v>
      </c>
      <c r="D305" s="4">
        <v>1035627100</v>
      </c>
      <c r="E305" s="4">
        <v>901645287</v>
      </c>
      <c r="F305" s="4">
        <v>916169698</v>
      </c>
      <c r="G305" s="4">
        <v>947532494</v>
      </c>
      <c r="H305" s="4">
        <v>1065335573</v>
      </c>
      <c r="I305" s="4">
        <v>1013858647</v>
      </c>
      <c r="J305" s="4">
        <v>1059037395</v>
      </c>
      <c r="K305" s="4">
        <v>1160757801</v>
      </c>
      <c r="L305" s="4">
        <v>1272488716</v>
      </c>
      <c r="M305" s="6">
        <f>Table2[[#This Row],[2025]]/SUM(Table2[2025])</f>
        <v>8.0115823626029684E-5</v>
      </c>
      <c r="N305" s="4"/>
      <c r="O305" s="1" t="s">
        <v>296</v>
      </c>
      <c r="P305" s="1" t="s">
        <v>21</v>
      </c>
      <c r="Q305" s="4">
        <v>5100720</v>
      </c>
      <c r="R305" s="4">
        <v>1677213260</v>
      </c>
      <c r="S305" s="4">
        <v>427020972</v>
      </c>
      <c r="T305" s="4">
        <v>226483792</v>
      </c>
      <c r="U305" s="4">
        <v>14322148</v>
      </c>
      <c r="V305" s="4">
        <v>278905730</v>
      </c>
      <c r="W305" s="4">
        <v>98688657</v>
      </c>
      <c r="X305" s="4">
        <v>136754359</v>
      </c>
      <c r="Y305" s="4">
        <v>46503163</v>
      </c>
      <c r="Z305" s="4">
        <v>-786058</v>
      </c>
    </row>
    <row r="306" spans="1:26" s="1" customFormat="1" ht="12.5" x14ac:dyDescent="0.25">
      <c r="A306" s="1" t="s">
        <v>350</v>
      </c>
      <c r="B306" s="1" t="s">
        <v>21</v>
      </c>
      <c r="C306" s="1" t="s">
        <v>21</v>
      </c>
      <c r="D306" s="1" t="s">
        <v>21</v>
      </c>
      <c r="E306" s="4">
        <v>123361818</v>
      </c>
      <c r="F306" s="4">
        <v>182882002</v>
      </c>
      <c r="G306" s="4">
        <v>482653676</v>
      </c>
      <c r="H306" s="4">
        <v>765680706</v>
      </c>
      <c r="I306" s="4">
        <v>867554544</v>
      </c>
      <c r="J306" s="4">
        <v>1190642191</v>
      </c>
      <c r="K306" s="4">
        <v>1336597136</v>
      </c>
      <c r="L306" s="4">
        <v>1265383291</v>
      </c>
      <c r="M306" s="6">
        <f>Table2[[#This Row],[2025]]/SUM(Table2[2025])</f>
        <v>7.9668466436193526E-5</v>
      </c>
      <c r="N306" s="4"/>
      <c r="O306" s="1" t="s">
        <v>297</v>
      </c>
      <c r="P306" s="1" t="s">
        <v>21</v>
      </c>
      <c r="Q306" s="4">
        <v>181225002</v>
      </c>
      <c r="R306" s="4">
        <v>6825777</v>
      </c>
      <c r="S306" s="4">
        <v>-53039509</v>
      </c>
      <c r="T306" s="4">
        <v>2289381</v>
      </c>
      <c r="U306" s="4">
        <v>-3246081</v>
      </c>
      <c r="V306" s="4">
        <v>-19757451</v>
      </c>
      <c r="W306" s="4">
        <v>-15778035</v>
      </c>
      <c r="X306" s="4">
        <v>30542808</v>
      </c>
      <c r="Y306" s="4">
        <v>2183692</v>
      </c>
      <c r="Z306" s="4">
        <v>-63837207</v>
      </c>
    </row>
    <row r="307" spans="1:26" s="1" customFormat="1" ht="12.5" x14ac:dyDescent="0.25">
      <c r="A307" s="1" t="s">
        <v>368</v>
      </c>
      <c r="B307" s="1" t="s">
        <v>21</v>
      </c>
      <c r="C307" s="1" t="s">
        <v>21</v>
      </c>
      <c r="D307" s="1" t="s">
        <v>21</v>
      </c>
      <c r="E307" s="1" t="s">
        <v>21</v>
      </c>
      <c r="F307" s="4">
        <v>499005618</v>
      </c>
      <c r="G307" s="4">
        <v>805315057</v>
      </c>
      <c r="H307" s="4">
        <v>1047897876</v>
      </c>
      <c r="I307" s="4">
        <v>1441856849</v>
      </c>
      <c r="J307" s="4">
        <v>1561641758</v>
      </c>
      <c r="K307" s="4">
        <v>1208634471</v>
      </c>
      <c r="L307" s="4">
        <v>1263348957</v>
      </c>
      <c r="M307" s="6">
        <f>Table2[[#This Row],[2025]]/SUM(Table2[2025])</f>
        <v>7.9540384872961464E-5</v>
      </c>
      <c r="N307" s="4"/>
      <c r="O307" s="1" t="s">
        <v>298</v>
      </c>
      <c r="P307" s="1" t="s">
        <v>21</v>
      </c>
      <c r="Q307" s="4">
        <v>531986648</v>
      </c>
      <c r="R307" s="4">
        <v>113756776</v>
      </c>
      <c r="S307" s="4">
        <v>138967731</v>
      </c>
      <c r="T307" s="4">
        <v>249674112</v>
      </c>
      <c r="U307" s="4">
        <v>471281833</v>
      </c>
      <c r="V307" s="4">
        <v>70033645</v>
      </c>
      <c r="W307" s="4">
        <v>-23616105</v>
      </c>
      <c r="X307" s="4">
        <v>-6085919</v>
      </c>
      <c r="Y307" s="4">
        <v>7790791</v>
      </c>
      <c r="Z307" s="4">
        <v>89683658</v>
      </c>
    </row>
    <row r="308" spans="1:26" s="1" customFormat="1" ht="12.5" x14ac:dyDescent="0.25">
      <c r="A308" s="1" t="s">
        <v>56</v>
      </c>
      <c r="B308" s="4">
        <v>248537793</v>
      </c>
      <c r="C308" s="4">
        <v>387830156</v>
      </c>
      <c r="D308" s="4">
        <v>434141281</v>
      </c>
      <c r="E308" s="4">
        <v>438257603</v>
      </c>
      <c r="F308" s="4">
        <v>461935911</v>
      </c>
      <c r="G308" s="4">
        <v>617537483</v>
      </c>
      <c r="H308" s="4">
        <v>793872611</v>
      </c>
      <c r="I308" s="4">
        <v>818432440</v>
      </c>
      <c r="J308" s="4">
        <v>941622777</v>
      </c>
      <c r="K308" s="4">
        <v>1037709193</v>
      </c>
      <c r="L308" s="4">
        <v>1242530064</v>
      </c>
      <c r="M308" s="6">
        <f>Table2[[#This Row],[2025]]/SUM(Table2[2025])</f>
        <v>7.8229628448401404E-5</v>
      </c>
      <c r="N308" s="4"/>
      <c r="O308" s="1" t="s">
        <v>299</v>
      </c>
      <c r="P308" s="1" t="s">
        <v>21</v>
      </c>
      <c r="Q308" s="4">
        <v>73182476</v>
      </c>
      <c r="R308" s="4">
        <v>204945908</v>
      </c>
      <c r="S308" s="4">
        <v>29227337</v>
      </c>
      <c r="T308" s="4">
        <v>148271474</v>
      </c>
      <c r="U308" s="4">
        <v>699231411</v>
      </c>
      <c r="V308" s="4">
        <v>1605271855</v>
      </c>
      <c r="W308" s="4">
        <v>2325853897</v>
      </c>
      <c r="X308" s="4">
        <v>3761221635</v>
      </c>
      <c r="Y308" s="4">
        <v>3734761918</v>
      </c>
      <c r="Z308" s="4">
        <v>3841123814</v>
      </c>
    </row>
    <row r="309" spans="1:26" s="1" customFormat="1" ht="12.5" x14ac:dyDescent="0.25">
      <c r="A309" s="1" t="s">
        <v>326</v>
      </c>
      <c r="B309" s="1" t="s">
        <v>21</v>
      </c>
      <c r="C309" s="1" t="s">
        <v>21</v>
      </c>
      <c r="D309" s="4">
        <v>109059409</v>
      </c>
      <c r="E309" s="4">
        <v>163930973</v>
      </c>
      <c r="F309" s="4">
        <v>532490759</v>
      </c>
      <c r="G309" s="4">
        <v>829842530</v>
      </c>
      <c r="H309" s="4">
        <v>1039740286</v>
      </c>
      <c r="I309" s="4">
        <v>867791226</v>
      </c>
      <c r="J309" s="4">
        <v>1024385576</v>
      </c>
      <c r="K309" s="4">
        <v>1094299128</v>
      </c>
      <c r="L309" s="4">
        <v>1208957082</v>
      </c>
      <c r="M309" s="7">
        <f>Table2[[#This Row],[2025]]/SUM(Table2[2025])</f>
        <v>7.6115875241247722E-5</v>
      </c>
      <c r="O309" s="1" t="s">
        <v>300</v>
      </c>
      <c r="P309" s="1" t="s">
        <v>21</v>
      </c>
      <c r="Q309" s="4">
        <v>13501511</v>
      </c>
      <c r="R309" s="4">
        <v>-1706768</v>
      </c>
      <c r="S309" s="4">
        <v>-3092969</v>
      </c>
      <c r="T309" s="4">
        <v>3699147</v>
      </c>
      <c r="U309" s="4">
        <v>36818</v>
      </c>
      <c r="V309" s="4">
        <v>11273287</v>
      </c>
      <c r="W309" s="4">
        <v>376157</v>
      </c>
      <c r="X309" s="4">
        <v>169518</v>
      </c>
      <c r="Y309" s="4">
        <v>218448</v>
      </c>
      <c r="Z309" s="4">
        <v>146774866</v>
      </c>
    </row>
    <row r="310" spans="1:26" s="1" customFormat="1" ht="12.5" x14ac:dyDescent="0.25">
      <c r="A310" s="1" t="s">
        <v>335</v>
      </c>
      <c r="B310" s="1" t="s">
        <v>21</v>
      </c>
      <c r="C310" s="1" t="s">
        <v>21</v>
      </c>
      <c r="D310" s="4">
        <v>141600289</v>
      </c>
      <c r="E310" s="4">
        <v>228532847</v>
      </c>
      <c r="F310" s="4">
        <v>343310835</v>
      </c>
      <c r="G310" s="4">
        <v>423568295</v>
      </c>
      <c r="H310" s="4">
        <v>559992531</v>
      </c>
      <c r="I310" s="4">
        <v>478703337</v>
      </c>
      <c r="J310" s="4">
        <v>652299382</v>
      </c>
      <c r="K310" s="4">
        <v>904677812</v>
      </c>
      <c r="L310" s="4">
        <v>1186897743</v>
      </c>
      <c r="M310" s="6">
        <f>Table2[[#This Row],[2025]]/SUM(Table2[2025])</f>
        <v>7.4727020400800723E-5</v>
      </c>
      <c r="N310" s="4"/>
      <c r="O310" s="1" t="s">
        <v>301</v>
      </c>
      <c r="P310" s="1" t="s">
        <v>21</v>
      </c>
      <c r="Q310" s="4">
        <v>27702746</v>
      </c>
      <c r="R310" s="4">
        <v>216276104</v>
      </c>
      <c r="S310" s="4">
        <v>20120333</v>
      </c>
      <c r="T310" s="4">
        <v>1016682382</v>
      </c>
      <c r="U310" s="4">
        <v>50267088</v>
      </c>
      <c r="V310" s="4">
        <v>69150220</v>
      </c>
      <c r="W310" s="4">
        <v>8071139</v>
      </c>
      <c r="X310" s="4">
        <v>189115507</v>
      </c>
      <c r="Y310" s="4">
        <v>-7788498</v>
      </c>
      <c r="Z310" s="4">
        <v>31961429</v>
      </c>
    </row>
    <row r="311" spans="1:26" s="1" customFormat="1" ht="12.5" x14ac:dyDescent="0.25">
      <c r="A311" s="1" t="s">
        <v>314</v>
      </c>
      <c r="B311" s="1" t="s">
        <v>21</v>
      </c>
      <c r="C311" s="4">
        <v>566083424</v>
      </c>
      <c r="D311" s="4">
        <v>586697724</v>
      </c>
      <c r="E311" s="4">
        <v>531410696</v>
      </c>
      <c r="F311" s="4">
        <v>568040530</v>
      </c>
      <c r="G311" s="4">
        <v>596217525</v>
      </c>
      <c r="H311" s="4">
        <v>654949775</v>
      </c>
      <c r="I311" s="4">
        <v>562835461</v>
      </c>
      <c r="J311" s="4">
        <v>668361891</v>
      </c>
      <c r="K311" s="4">
        <v>762247085</v>
      </c>
      <c r="L311" s="4">
        <v>1169285045</v>
      </c>
      <c r="M311" s="6">
        <f>Table2[[#This Row],[2025]]/SUM(Table2[2025])</f>
        <v>7.3618125847313363E-5</v>
      </c>
      <c r="N311" s="4"/>
      <c r="O311" s="1" t="s">
        <v>302</v>
      </c>
      <c r="P311" s="1" t="s">
        <v>21</v>
      </c>
      <c r="Q311" s="4">
        <v>153339849</v>
      </c>
      <c r="R311" s="4">
        <v>12618423</v>
      </c>
      <c r="S311" s="4">
        <v>781262</v>
      </c>
      <c r="T311" s="4">
        <v>-14994455</v>
      </c>
      <c r="U311" s="4">
        <v>-18966139</v>
      </c>
      <c r="V311" s="4">
        <v>-13661425</v>
      </c>
      <c r="W311" s="4">
        <v>-5489166</v>
      </c>
      <c r="X311" s="4">
        <v>-8830769</v>
      </c>
      <c r="Y311" s="4">
        <v>-19795192</v>
      </c>
      <c r="Z311" s="4">
        <v>-19055578</v>
      </c>
    </row>
    <row r="312" spans="1:26" s="1" customFormat="1" ht="12.5" x14ac:dyDescent="0.25">
      <c r="A312" s="1" t="s">
        <v>451</v>
      </c>
      <c r="B312" s="1" t="s">
        <v>21</v>
      </c>
      <c r="C312" s="1" t="s">
        <v>21</v>
      </c>
      <c r="D312" s="1" t="s">
        <v>21</v>
      </c>
      <c r="E312" s="1" t="s">
        <v>21</v>
      </c>
      <c r="F312" s="1" t="s">
        <v>21</v>
      </c>
      <c r="G312" s="1" t="s">
        <v>21</v>
      </c>
      <c r="H312" s="1" t="s">
        <v>21</v>
      </c>
      <c r="I312" s="1" t="s">
        <v>21</v>
      </c>
      <c r="J312" s="4">
        <v>738379639</v>
      </c>
      <c r="K312" s="4">
        <v>909758012</v>
      </c>
      <c r="L312" s="4">
        <v>1159324305</v>
      </c>
      <c r="M312" s="6">
        <f>Table2[[#This Row],[2025]]/SUM(Table2[2025])</f>
        <v>7.2990998173023841E-5</v>
      </c>
      <c r="N312" s="4"/>
      <c r="O312" s="1" t="s">
        <v>303</v>
      </c>
      <c r="P312" s="1" t="s">
        <v>21</v>
      </c>
      <c r="Q312" s="4">
        <v>14274431</v>
      </c>
      <c r="R312" s="4">
        <v>167167159</v>
      </c>
      <c r="S312" s="4">
        <v>37031078</v>
      </c>
      <c r="T312" s="4">
        <v>283513114</v>
      </c>
      <c r="U312" s="4">
        <v>348416590</v>
      </c>
      <c r="V312" s="4">
        <v>222289806</v>
      </c>
      <c r="W312" s="4">
        <v>19235293</v>
      </c>
      <c r="X312" s="4">
        <v>-232650115</v>
      </c>
      <c r="Y312" s="4">
        <v>-341082701</v>
      </c>
      <c r="Z312" s="4">
        <v>-150794772</v>
      </c>
    </row>
    <row r="313" spans="1:26" s="1" customFormat="1" ht="12.5" x14ac:dyDescent="0.25">
      <c r="A313" s="1" t="s">
        <v>315</v>
      </c>
      <c r="B313" s="1" t="s">
        <v>21</v>
      </c>
      <c r="C313" s="4">
        <v>151408720</v>
      </c>
      <c r="D313" s="4">
        <v>181412550</v>
      </c>
      <c r="E313" s="4">
        <v>305606923</v>
      </c>
      <c r="F313" s="4">
        <v>339713471</v>
      </c>
      <c r="G313" s="4">
        <v>400227484</v>
      </c>
      <c r="H313" s="4">
        <v>605055878</v>
      </c>
      <c r="I313" s="4">
        <v>687037699</v>
      </c>
      <c r="J313" s="4">
        <v>655088683</v>
      </c>
      <c r="K313" s="4">
        <v>771146862</v>
      </c>
      <c r="L313" s="4">
        <v>1155479500</v>
      </c>
      <c r="M313" s="6">
        <f>Table2[[#This Row],[2025]]/SUM(Table2[2025])</f>
        <v>7.2748929449440374E-5</v>
      </c>
      <c r="N313" s="4"/>
      <c r="O313" s="1" t="s">
        <v>304</v>
      </c>
      <c r="P313" s="1" t="s">
        <v>21</v>
      </c>
      <c r="Q313" s="4">
        <v>51627806</v>
      </c>
      <c r="R313" s="4">
        <v>2449582</v>
      </c>
      <c r="S313" s="4">
        <v>189937</v>
      </c>
      <c r="T313" s="4">
        <v>-2887581</v>
      </c>
      <c r="U313" s="4">
        <v>4389192</v>
      </c>
      <c r="V313" s="4">
        <v>39115151</v>
      </c>
      <c r="W313" s="4">
        <v>6105441</v>
      </c>
      <c r="X313" s="4">
        <v>5359584</v>
      </c>
      <c r="Y313" s="4">
        <v>-3637080</v>
      </c>
      <c r="Z313" s="4">
        <v>-25669782</v>
      </c>
    </row>
    <row r="314" spans="1:26" s="1" customFormat="1" ht="12.5" x14ac:dyDescent="0.25">
      <c r="A314" s="1" t="s">
        <v>311</v>
      </c>
      <c r="B314" s="1" t="s">
        <v>21</v>
      </c>
      <c r="C314" s="4">
        <v>137368942</v>
      </c>
      <c r="D314" s="4">
        <v>189595418</v>
      </c>
      <c r="E314" s="4">
        <v>218956686</v>
      </c>
      <c r="F314" s="4">
        <v>612777952</v>
      </c>
      <c r="G314" s="4">
        <v>888917266</v>
      </c>
      <c r="H314" s="4">
        <v>1027175367</v>
      </c>
      <c r="I314" s="4">
        <v>653508831</v>
      </c>
      <c r="J314" s="4">
        <v>863413066</v>
      </c>
      <c r="K314" s="4">
        <v>1063203964</v>
      </c>
      <c r="L314" s="4">
        <v>1154403089</v>
      </c>
      <c r="M314" s="6">
        <f>Table2[[#This Row],[2025]]/SUM(Table2[2025])</f>
        <v>7.2681158668654039E-5</v>
      </c>
      <c r="N314" s="4"/>
      <c r="O314" s="1" t="s">
        <v>305</v>
      </c>
      <c r="P314" s="1" t="s">
        <v>21</v>
      </c>
      <c r="Q314" s="4">
        <v>162189693</v>
      </c>
      <c r="R314" s="4">
        <v>-19297989</v>
      </c>
      <c r="S314" s="4">
        <v>-31055134</v>
      </c>
      <c r="T314" s="4">
        <v>-56685122</v>
      </c>
      <c r="U314" s="4">
        <v>-6066129</v>
      </c>
      <c r="V314" s="4">
        <v>-3293162</v>
      </c>
      <c r="W314" s="4">
        <v>-9470823</v>
      </c>
      <c r="X314" s="4">
        <v>-1720736</v>
      </c>
      <c r="Y314" s="4">
        <v>15149797</v>
      </c>
      <c r="Z314" s="4">
        <v>8948571</v>
      </c>
    </row>
    <row r="315" spans="1:26" s="1" customFormat="1" ht="12.5" x14ac:dyDescent="0.25">
      <c r="A315" s="1" t="s">
        <v>49</v>
      </c>
      <c r="B315" s="4">
        <v>199305615</v>
      </c>
      <c r="C315" s="4">
        <v>207330490</v>
      </c>
      <c r="D315" s="4">
        <v>339988374</v>
      </c>
      <c r="E315" s="4">
        <v>391863928</v>
      </c>
      <c r="F315" s="4">
        <v>564804667</v>
      </c>
      <c r="G315" s="4">
        <v>621405997</v>
      </c>
      <c r="H315" s="4">
        <v>798933644</v>
      </c>
      <c r="I315" s="4">
        <v>739745450</v>
      </c>
      <c r="J315" s="4">
        <v>910334357</v>
      </c>
      <c r="K315" s="4">
        <v>1099019594</v>
      </c>
      <c r="L315" s="4">
        <v>1144734539</v>
      </c>
      <c r="M315" s="6">
        <f>Table2[[#This Row],[2025]]/SUM(Table2[2025])</f>
        <v>7.2072427261624854E-5</v>
      </c>
      <c r="N315" s="4"/>
      <c r="O315" s="1" t="s">
        <v>306</v>
      </c>
      <c r="P315" s="1" t="s">
        <v>21</v>
      </c>
      <c r="Q315" s="4">
        <v>1267473809</v>
      </c>
      <c r="R315" s="4">
        <v>46641660</v>
      </c>
      <c r="S315" s="4">
        <v>96387886</v>
      </c>
      <c r="T315" s="4">
        <v>-64641616</v>
      </c>
      <c r="U315" s="4">
        <v>-126777976</v>
      </c>
      <c r="V315" s="4">
        <v>-88101969</v>
      </c>
      <c r="W315" s="4">
        <v>96895430</v>
      </c>
      <c r="X315" s="4">
        <v>-35665470</v>
      </c>
      <c r="Y315" s="4">
        <v>-28685567</v>
      </c>
      <c r="Z315" s="4">
        <v>9255444</v>
      </c>
    </row>
    <row r="316" spans="1:26" s="1" customFormat="1" ht="12.5" x14ac:dyDescent="0.25">
      <c r="A316" s="1" t="s">
        <v>191</v>
      </c>
      <c r="B316" s="4">
        <v>4019599546</v>
      </c>
      <c r="C316" s="4">
        <v>1866284288</v>
      </c>
      <c r="D316" s="4">
        <v>2438088168</v>
      </c>
      <c r="E316" s="4">
        <v>2171615469</v>
      </c>
      <c r="F316" s="4">
        <v>2029997935</v>
      </c>
      <c r="G316" s="4">
        <v>2089729300</v>
      </c>
      <c r="H316" s="4">
        <v>3057731102</v>
      </c>
      <c r="I316" s="4">
        <v>1918034945</v>
      </c>
      <c r="J316" s="4">
        <v>1986010080</v>
      </c>
      <c r="K316" s="4">
        <v>1386615246</v>
      </c>
      <c r="L316" s="4">
        <v>1115121196</v>
      </c>
      <c r="M316" s="6">
        <f>Table2[[#This Row],[2025]]/SUM(Table2[2025])</f>
        <v>7.0207972720744569E-5</v>
      </c>
      <c r="N316" s="4"/>
      <c r="O316" s="1" t="s">
        <v>307</v>
      </c>
      <c r="P316" s="1" t="s">
        <v>21</v>
      </c>
      <c r="Q316" s="1" t="s">
        <v>21</v>
      </c>
      <c r="R316" s="4">
        <v>-2124</v>
      </c>
      <c r="S316" s="4">
        <v>-320227</v>
      </c>
      <c r="T316" s="4">
        <v>-19251</v>
      </c>
      <c r="U316" s="4">
        <v>528432750</v>
      </c>
      <c r="V316" s="4">
        <v>1356257704</v>
      </c>
      <c r="W316" s="4">
        <v>-573397877</v>
      </c>
      <c r="X316" s="4">
        <v>-580989319</v>
      </c>
      <c r="Y316" s="4">
        <v>-21146160</v>
      </c>
      <c r="Z316" s="4">
        <v>1329504222</v>
      </c>
    </row>
    <row r="317" spans="1:26" s="1" customFormat="1" ht="12.5" x14ac:dyDescent="0.25">
      <c r="A317" s="1" t="s">
        <v>91</v>
      </c>
      <c r="B317" s="4">
        <v>561000000</v>
      </c>
      <c r="C317" s="4">
        <v>607266377</v>
      </c>
      <c r="D317" s="4">
        <v>1887825887</v>
      </c>
      <c r="E317" s="4">
        <v>1676791735</v>
      </c>
      <c r="F317" s="4">
        <v>1426659736</v>
      </c>
      <c r="G317" s="4">
        <v>1218986914</v>
      </c>
      <c r="H317" s="4">
        <v>1522224609</v>
      </c>
      <c r="I317" s="4">
        <v>1595855166</v>
      </c>
      <c r="J317" s="4">
        <v>1558064153</v>
      </c>
      <c r="K317" s="4">
        <v>611528288</v>
      </c>
      <c r="L317" s="4">
        <v>1099607747</v>
      </c>
      <c r="M317" s="6">
        <f>Table2[[#This Row],[2025]]/SUM(Table2[2025])</f>
        <v>6.9231246775525729E-5</v>
      </c>
      <c r="N317" s="4"/>
      <c r="O317" s="1" t="s">
        <v>308</v>
      </c>
      <c r="P317" s="1" t="s">
        <v>21</v>
      </c>
      <c r="Q317" s="4">
        <v>77602302</v>
      </c>
      <c r="R317" s="4">
        <v>32782</v>
      </c>
      <c r="S317" s="4">
        <v>18465207</v>
      </c>
      <c r="T317" s="4">
        <v>62904</v>
      </c>
      <c r="U317" s="4">
        <v>-94245</v>
      </c>
      <c r="V317" s="4">
        <v>134230149</v>
      </c>
      <c r="W317" s="4">
        <v>1632743564</v>
      </c>
      <c r="X317" s="4">
        <v>1096809778</v>
      </c>
      <c r="Y317" s="4">
        <v>2724588286</v>
      </c>
      <c r="Z317" s="4">
        <v>2824182088</v>
      </c>
    </row>
    <row r="318" spans="1:26" s="1" customFormat="1" ht="12.5" x14ac:dyDescent="0.25">
      <c r="A318" s="1" t="s">
        <v>303</v>
      </c>
      <c r="B318" s="1" t="s">
        <v>21</v>
      </c>
      <c r="C318" s="4">
        <v>14342486</v>
      </c>
      <c r="D318" s="4">
        <v>182687369</v>
      </c>
      <c r="E318" s="4">
        <v>211836316</v>
      </c>
      <c r="F318" s="4">
        <v>551308737</v>
      </c>
      <c r="G318" s="4">
        <v>926874557</v>
      </c>
      <c r="H318" s="4">
        <v>1374836153</v>
      </c>
      <c r="I318" s="4">
        <v>1315073731</v>
      </c>
      <c r="J318" s="4">
        <v>1344019942</v>
      </c>
      <c r="K318" s="4">
        <v>1089724735</v>
      </c>
      <c r="L318" s="4">
        <v>1081556974</v>
      </c>
      <c r="M318" s="6">
        <f>Table2[[#This Row],[2025]]/SUM(Table2[2025])</f>
        <v>6.8094771042736998E-5</v>
      </c>
      <c r="N318" s="4"/>
      <c r="O318" s="1" t="s">
        <v>309</v>
      </c>
      <c r="P318" s="1" t="s">
        <v>21</v>
      </c>
      <c r="Q318" s="4">
        <v>1085612093</v>
      </c>
      <c r="R318" s="4">
        <v>128618342</v>
      </c>
      <c r="S318" s="4">
        <v>100256183</v>
      </c>
      <c r="T318" s="4">
        <v>74083168</v>
      </c>
      <c r="U318" s="4">
        <v>-26422444</v>
      </c>
      <c r="V318" s="4">
        <v>22088675</v>
      </c>
      <c r="W318" s="4">
        <v>72056366</v>
      </c>
      <c r="X318" s="4">
        <v>117307346</v>
      </c>
      <c r="Y318" s="4">
        <v>10550551</v>
      </c>
      <c r="Z318" s="4">
        <v>94906178</v>
      </c>
    </row>
    <row r="319" spans="1:26" s="1" customFormat="1" ht="12.5" x14ac:dyDescent="0.25">
      <c r="A319" s="1" t="s">
        <v>354</v>
      </c>
      <c r="B319" s="1" t="s">
        <v>21</v>
      </c>
      <c r="C319" s="1" t="s">
        <v>21</v>
      </c>
      <c r="D319" s="1" t="s">
        <v>21</v>
      </c>
      <c r="E319" s="4">
        <v>173280851</v>
      </c>
      <c r="F319" s="4">
        <v>321333887</v>
      </c>
      <c r="G319" s="4">
        <v>576434729</v>
      </c>
      <c r="H319" s="4">
        <v>799576569</v>
      </c>
      <c r="I319" s="4">
        <v>849173340</v>
      </c>
      <c r="J319" s="4">
        <v>1052916386</v>
      </c>
      <c r="K319" s="4">
        <v>823908349</v>
      </c>
      <c r="L319" s="4">
        <v>1079734382</v>
      </c>
      <c r="M319" s="6">
        <f>Table2[[#This Row],[2025]]/SUM(Table2[2025])</f>
        <v>6.7980020744853639E-5</v>
      </c>
      <c r="N319" s="4"/>
      <c r="O319" s="1" t="s">
        <v>310</v>
      </c>
      <c r="P319" s="1" t="s">
        <v>21</v>
      </c>
      <c r="Q319" s="4">
        <v>87356435</v>
      </c>
      <c r="R319" s="4">
        <v>61023184</v>
      </c>
      <c r="S319" s="4">
        <v>123143514</v>
      </c>
      <c r="T319" s="4">
        <v>6066694</v>
      </c>
      <c r="U319" s="4">
        <v>22835066</v>
      </c>
      <c r="V319" s="4">
        <v>71656888</v>
      </c>
      <c r="W319" s="4">
        <v>23019861</v>
      </c>
      <c r="X319" s="4">
        <v>-17659143</v>
      </c>
      <c r="Y319" s="4">
        <v>8400655</v>
      </c>
      <c r="Z319" s="4">
        <v>14414394</v>
      </c>
    </row>
    <row r="320" spans="1:26" s="1" customFormat="1" ht="12.5" x14ac:dyDescent="0.25">
      <c r="A320" s="1" t="s">
        <v>71</v>
      </c>
      <c r="B320" s="4">
        <v>349103750</v>
      </c>
      <c r="C320" s="4">
        <v>420807378</v>
      </c>
      <c r="D320" s="4">
        <v>456856376</v>
      </c>
      <c r="E320" s="4">
        <v>438103119</v>
      </c>
      <c r="F320" s="4">
        <v>521943437</v>
      </c>
      <c r="G320" s="4">
        <v>594407004</v>
      </c>
      <c r="H320" s="4">
        <v>817772141</v>
      </c>
      <c r="I320" s="4">
        <v>796708529</v>
      </c>
      <c r="J320" s="4">
        <v>836061257</v>
      </c>
      <c r="K320" s="4">
        <v>956493950</v>
      </c>
      <c r="L320" s="4">
        <v>1070430898</v>
      </c>
      <c r="M320" s="6">
        <f>Table2[[#This Row],[2025]]/SUM(Table2[2025])</f>
        <v>6.7394273874268735E-5</v>
      </c>
      <c r="N320" s="4"/>
      <c r="O320" s="1" t="s">
        <v>311</v>
      </c>
      <c r="P320" s="1" t="s">
        <v>21</v>
      </c>
      <c r="Q320" s="4">
        <v>138649891</v>
      </c>
      <c r="R320" s="4">
        <v>48285206</v>
      </c>
      <c r="S320" s="4">
        <v>29525014</v>
      </c>
      <c r="T320" s="4">
        <v>320603801</v>
      </c>
      <c r="U320" s="4">
        <v>100382271</v>
      </c>
      <c r="V320" s="4">
        <v>10146519</v>
      </c>
      <c r="W320" s="4">
        <v>-71732940</v>
      </c>
      <c r="X320" s="4">
        <v>-43068089</v>
      </c>
      <c r="Y320" s="4">
        <v>30432420</v>
      </c>
      <c r="Z320" s="4">
        <v>18190069</v>
      </c>
    </row>
    <row r="321" spans="1:26" s="1" customFormat="1" ht="12.5" x14ac:dyDescent="0.25">
      <c r="A321" s="1" t="s">
        <v>344</v>
      </c>
      <c r="B321" s="1" t="s">
        <v>21</v>
      </c>
      <c r="C321" s="1" t="s">
        <v>21</v>
      </c>
      <c r="D321" s="1" t="s">
        <v>21</v>
      </c>
      <c r="E321" s="4">
        <v>263959226</v>
      </c>
      <c r="F321" s="4">
        <v>315759184</v>
      </c>
      <c r="G321" s="4">
        <v>600781563</v>
      </c>
      <c r="H321" s="4">
        <v>515951166</v>
      </c>
      <c r="I321" s="4">
        <v>408487581</v>
      </c>
      <c r="J321" s="4">
        <v>541848782</v>
      </c>
      <c r="K321" s="4">
        <v>608318932</v>
      </c>
      <c r="L321" s="4">
        <v>1061427854</v>
      </c>
      <c r="M321" s="6">
        <f>Table2[[#This Row],[2025]]/SUM(Table2[2025])</f>
        <v>6.6827442690516707E-5</v>
      </c>
      <c r="N321" s="4"/>
      <c r="O321" s="1" t="s">
        <v>312</v>
      </c>
      <c r="P321" s="1" t="s">
        <v>21</v>
      </c>
      <c r="Q321" s="4">
        <v>89729282</v>
      </c>
      <c r="R321" s="4">
        <v>28602988</v>
      </c>
      <c r="S321" s="4">
        <v>1533442</v>
      </c>
      <c r="T321" s="4">
        <v>6592762</v>
      </c>
      <c r="U321" s="4">
        <v>-3718525</v>
      </c>
      <c r="V321" s="4">
        <v>48328342</v>
      </c>
      <c r="W321" s="4">
        <v>14287848</v>
      </c>
      <c r="X321" s="4">
        <v>-3260253</v>
      </c>
      <c r="Y321" s="4">
        <v>5267508</v>
      </c>
      <c r="Z321" s="4">
        <v>-8757075</v>
      </c>
    </row>
    <row r="322" spans="1:26" s="1" customFormat="1" ht="12.5" x14ac:dyDescent="0.25">
      <c r="A322" s="1" t="s">
        <v>338</v>
      </c>
      <c r="B322" s="1" t="s">
        <v>21</v>
      </c>
      <c r="C322" s="1" t="s">
        <v>21</v>
      </c>
      <c r="D322" s="4">
        <v>5074501</v>
      </c>
      <c r="E322" s="4">
        <v>26768459</v>
      </c>
      <c r="F322" s="4">
        <v>114344876</v>
      </c>
      <c r="G322" s="4">
        <v>177799931</v>
      </c>
      <c r="H322" s="4">
        <v>371635603</v>
      </c>
      <c r="I322" s="4">
        <v>522155652</v>
      </c>
      <c r="J322" s="4">
        <v>666749501</v>
      </c>
      <c r="K322" s="4">
        <v>930284374</v>
      </c>
      <c r="L322" s="4">
        <v>1041742785</v>
      </c>
      <c r="M322" s="6">
        <f>Table2[[#This Row],[2025]]/SUM(Table2[2025])</f>
        <v>6.5588071766248159E-5</v>
      </c>
      <c r="N322" s="4"/>
      <c r="O322" s="1" t="s">
        <v>313</v>
      </c>
      <c r="P322" s="1" t="s">
        <v>21</v>
      </c>
      <c r="Q322" s="4">
        <v>1438244308</v>
      </c>
      <c r="R322" s="4">
        <v>14561866</v>
      </c>
      <c r="S322" s="4">
        <v>-28983429</v>
      </c>
      <c r="T322" s="4">
        <v>5678230</v>
      </c>
      <c r="U322" s="4">
        <v>112651947</v>
      </c>
      <c r="V322" s="4">
        <v>302023188</v>
      </c>
      <c r="W322" s="4">
        <v>468220690</v>
      </c>
      <c r="X322" s="4">
        <v>88029358</v>
      </c>
      <c r="Y322" s="4">
        <v>302507183</v>
      </c>
      <c r="Z322" s="4">
        <v>202708827</v>
      </c>
    </row>
    <row r="323" spans="1:26" s="1" customFormat="1" ht="12.5" x14ac:dyDescent="0.25">
      <c r="A323" s="1" t="s">
        <v>116</v>
      </c>
      <c r="B323" s="4">
        <v>925761630</v>
      </c>
      <c r="C323" s="4">
        <v>882298297</v>
      </c>
      <c r="D323" s="4">
        <v>841194209</v>
      </c>
      <c r="E323" s="4">
        <v>817069585</v>
      </c>
      <c r="F323" s="4">
        <v>877271560</v>
      </c>
      <c r="G323" s="4">
        <v>1163195559</v>
      </c>
      <c r="H323" s="4">
        <v>1208198063</v>
      </c>
      <c r="I323" s="4">
        <v>1068444864</v>
      </c>
      <c r="J323" s="4">
        <v>1138560620</v>
      </c>
      <c r="K323" s="4">
        <v>1126465415</v>
      </c>
      <c r="L323" s="4">
        <v>1032645487</v>
      </c>
      <c r="M323" s="6">
        <f>Table2[[#This Row],[2025]]/SUM(Table2[2025])</f>
        <v>6.5015306355539841E-5</v>
      </c>
      <c r="N323" s="4"/>
      <c r="O323" s="1" t="s">
        <v>314</v>
      </c>
      <c r="P323" s="1" t="s">
        <v>21</v>
      </c>
      <c r="Q323" s="4">
        <v>618517364</v>
      </c>
      <c r="R323" s="4">
        <v>-21361950</v>
      </c>
      <c r="S323" s="4">
        <v>-3013576</v>
      </c>
      <c r="T323" s="4">
        <v>-9104358</v>
      </c>
      <c r="U323" s="4">
        <v>-28845478</v>
      </c>
      <c r="V323" s="4">
        <v>-24928982</v>
      </c>
      <c r="W323" s="4">
        <v>-31402360</v>
      </c>
      <c r="X323" s="4">
        <v>-26277299</v>
      </c>
      <c r="Y323" s="4">
        <v>-10547485</v>
      </c>
      <c r="Z323" s="4">
        <v>-233532394</v>
      </c>
    </row>
    <row r="324" spans="1:26" s="1" customFormat="1" ht="12.5" x14ac:dyDescent="0.25">
      <c r="A324" s="1" t="s">
        <v>486</v>
      </c>
      <c r="B324" s="1" t="s">
        <v>21</v>
      </c>
      <c r="C324" s="1" t="s">
        <v>21</v>
      </c>
      <c r="D324" s="1" t="s">
        <v>21</v>
      </c>
      <c r="E324" s="1" t="s">
        <v>21</v>
      </c>
      <c r="F324" s="1" t="s">
        <v>21</v>
      </c>
      <c r="G324" s="1" t="s">
        <v>21</v>
      </c>
      <c r="H324" s="1" t="s">
        <v>21</v>
      </c>
      <c r="I324" s="1" t="s">
        <v>21</v>
      </c>
      <c r="J324" s="1" t="s">
        <v>21</v>
      </c>
      <c r="K324" s="1" t="s">
        <v>21</v>
      </c>
      <c r="L324" s="4">
        <v>1011397279</v>
      </c>
      <c r="M324" s="6">
        <f>Table2[[#This Row],[2025]]/SUM(Table2[2025])</f>
        <v>6.3677520280824507E-5</v>
      </c>
      <c r="N324" s="4"/>
      <c r="O324" s="1" t="s">
        <v>315</v>
      </c>
      <c r="P324" s="1" t="s">
        <v>21</v>
      </c>
      <c r="Q324" s="4">
        <v>156596354</v>
      </c>
      <c r="R324" s="4">
        <v>22793395</v>
      </c>
      <c r="S324" s="4">
        <v>135788551</v>
      </c>
      <c r="T324" s="4">
        <v>16390099</v>
      </c>
      <c r="U324" s="4">
        <v>62096569</v>
      </c>
      <c r="V324" s="4">
        <v>82454817</v>
      </c>
      <c r="W324" s="4">
        <v>109317035</v>
      </c>
      <c r="X324" s="4">
        <v>-74970504</v>
      </c>
      <c r="Y324" s="4">
        <v>32386797</v>
      </c>
      <c r="Z324" s="4">
        <v>205914619</v>
      </c>
    </row>
    <row r="325" spans="1:26" s="1" customFormat="1" ht="12.5" x14ac:dyDescent="0.25">
      <c r="A325" s="1" t="s">
        <v>112</v>
      </c>
      <c r="B325" s="4">
        <v>782525838</v>
      </c>
      <c r="C325" s="4">
        <v>745868179</v>
      </c>
      <c r="D325" s="4">
        <v>644953175</v>
      </c>
      <c r="E325" s="4">
        <v>554069487</v>
      </c>
      <c r="F325" s="4">
        <v>606715503</v>
      </c>
      <c r="G325" s="4">
        <v>677686728</v>
      </c>
      <c r="H325" s="4">
        <v>806997313</v>
      </c>
      <c r="I325" s="4">
        <v>751028703</v>
      </c>
      <c r="J325" s="4">
        <v>842054918</v>
      </c>
      <c r="K325" s="4">
        <v>918030056</v>
      </c>
      <c r="L325" s="4">
        <v>1010928111</v>
      </c>
      <c r="M325" s="6">
        <f>Table2[[#This Row],[2025]]/SUM(Table2[2025])</f>
        <v>6.3647981487854202E-5</v>
      </c>
      <c r="N325" s="4"/>
      <c r="O325" s="1" t="s">
        <v>316</v>
      </c>
      <c r="P325" s="1" t="s">
        <v>21</v>
      </c>
      <c r="Q325" s="4">
        <v>112249973</v>
      </c>
      <c r="R325" s="4">
        <v>69251142</v>
      </c>
      <c r="S325" s="4">
        <v>22975966</v>
      </c>
      <c r="T325" s="4">
        <v>-3329896</v>
      </c>
      <c r="U325" s="4">
        <v>6514611</v>
      </c>
      <c r="V325" s="4">
        <v>32181659</v>
      </c>
      <c r="W325" s="4">
        <v>28479463</v>
      </c>
      <c r="X325" s="4">
        <v>15965498</v>
      </c>
      <c r="Y325" s="4">
        <v>41647633</v>
      </c>
      <c r="Z325" s="4">
        <v>37125298</v>
      </c>
    </row>
    <row r="326" spans="1:26" s="1" customFormat="1" ht="12.5" x14ac:dyDescent="0.25">
      <c r="A326" s="1" t="s">
        <v>391</v>
      </c>
      <c r="B326" s="1" t="s">
        <v>21</v>
      </c>
      <c r="C326" s="1" t="s">
        <v>21</v>
      </c>
      <c r="D326" s="1" t="s">
        <v>21</v>
      </c>
      <c r="E326" s="1" t="s">
        <v>21</v>
      </c>
      <c r="F326" s="1" t="s">
        <v>21</v>
      </c>
      <c r="G326" s="4">
        <v>421197675</v>
      </c>
      <c r="H326" s="4">
        <v>843627531</v>
      </c>
      <c r="I326" s="4">
        <v>882387236</v>
      </c>
      <c r="J326" s="4">
        <v>1004626700</v>
      </c>
      <c r="K326" s="4">
        <v>955051577</v>
      </c>
      <c r="L326" s="4">
        <v>991472194</v>
      </c>
      <c r="M326" s="7">
        <f>Table2[[#This Row],[2025]]/SUM(Table2[2025])</f>
        <v>6.2423037961632259E-5</v>
      </c>
      <c r="O326" s="1" t="s">
        <v>317</v>
      </c>
      <c r="P326" s="1" t="s">
        <v>21</v>
      </c>
      <c r="Q326" s="4">
        <v>55022950</v>
      </c>
      <c r="R326" s="4">
        <v>-275</v>
      </c>
      <c r="S326" s="4">
        <v>3153991</v>
      </c>
      <c r="T326" s="4">
        <v>201</v>
      </c>
      <c r="U326" s="4">
        <v>-12962509</v>
      </c>
      <c r="V326" s="4">
        <v>-17935966</v>
      </c>
      <c r="W326" s="1" t="s">
        <v>21</v>
      </c>
      <c r="X326" s="1" t="s">
        <v>21</v>
      </c>
      <c r="Y326" s="1" t="s">
        <v>21</v>
      </c>
      <c r="Z326" s="1" t="s">
        <v>21</v>
      </c>
    </row>
    <row r="327" spans="1:26" s="1" customFormat="1" ht="12.5" x14ac:dyDescent="0.25">
      <c r="A327" s="1" t="s">
        <v>65</v>
      </c>
      <c r="B327" s="4">
        <v>301749431</v>
      </c>
      <c r="C327" s="4">
        <v>319020933</v>
      </c>
      <c r="D327" s="4">
        <v>339532073</v>
      </c>
      <c r="E327" s="4">
        <v>309495046</v>
      </c>
      <c r="F327" s="4">
        <v>341439821</v>
      </c>
      <c r="G327" s="4">
        <v>420272019</v>
      </c>
      <c r="H327" s="4">
        <v>598952759</v>
      </c>
      <c r="I327" s="4">
        <v>619010174</v>
      </c>
      <c r="J327" s="4">
        <v>673710643</v>
      </c>
      <c r="K327" s="4">
        <v>769422716</v>
      </c>
      <c r="L327" s="4">
        <v>988786950</v>
      </c>
      <c r="M327" s="6">
        <f>Table2[[#This Row],[2025]]/SUM(Table2[2025])</f>
        <v>6.2253975138526759E-5</v>
      </c>
      <c r="N327" s="4"/>
      <c r="O327" s="1" t="s">
        <v>318</v>
      </c>
      <c r="P327" s="1" t="s">
        <v>21</v>
      </c>
      <c r="Q327" s="4">
        <v>2160653</v>
      </c>
      <c r="R327" s="4">
        <v>57395177</v>
      </c>
      <c r="S327" s="4">
        <v>3599386</v>
      </c>
      <c r="T327" s="4">
        <v>26602666</v>
      </c>
      <c r="U327" s="4">
        <v>9261109</v>
      </c>
      <c r="V327" s="4">
        <v>48320247</v>
      </c>
      <c r="W327" s="4">
        <v>281881023</v>
      </c>
      <c r="X327" s="4">
        <v>10190199</v>
      </c>
      <c r="Y327" s="4">
        <v>576804485</v>
      </c>
      <c r="Z327" s="4">
        <v>156423198</v>
      </c>
    </row>
    <row r="328" spans="1:26" s="1" customFormat="1" ht="12.5" x14ac:dyDescent="0.25">
      <c r="A328" s="1" t="s">
        <v>63</v>
      </c>
      <c r="B328" s="4">
        <v>295619739</v>
      </c>
      <c r="C328" s="4">
        <v>312231584</v>
      </c>
      <c r="D328" s="4">
        <v>364314951</v>
      </c>
      <c r="E328" s="4">
        <v>448405768</v>
      </c>
      <c r="F328" s="4">
        <v>357544769</v>
      </c>
      <c r="G328" s="4">
        <v>391726385</v>
      </c>
      <c r="H328" s="4">
        <v>521046826</v>
      </c>
      <c r="I328" s="4">
        <v>546021524</v>
      </c>
      <c r="J328" s="4">
        <v>605859824</v>
      </c>
      <c r="K328" s="4">
        <v>731155761</v>
      </c>
      <c r="L328" s="4">
        <v>938928537</v>
      </c>
      <c r="M328" s="6">
        <f>Table2[[#This Row],[2025]]/SUM(Table2[2025])</f>
        <v>5.9114892039434076E-5</v>
      </c>
      <c r="N328" s="4"/>
      <c r="O328" s="1" t="s">
        <v>319</v>
      </c>
      <c r="P328" s="1" t="s">
        <v>21</v>
      </c>
      <c r="Q328" s="4">
        <v>800542035</v>
      </c>
      <c r="R328" s="4">
        <v>107620484</v>
      </c>
      <c r="S328" s="4">
        <v>124894053</v>
      </c>
      <c r="T328" s="4">
        <v>56569639</v>
      </c>
      <c r="U328" s="4">
        <v>1008170248</v>
      </c>
      <c r="V328" s="4">
        <v>106846807</v>
      </c>
      <c r="W328" s="4">
        <v>93149587</v>
      </c>
      <c r="X328" s="4">
        <v>25848390</v>
      </c>
      <c r="Y328" s="4">
        <v>130779849</v>
      </c>
      <c r="Z328" s="4">
        <v>72904448</v>
      </c>
    </row>
    <row r="329" spans="1:26" s="1" customFormat="1" ht="12.5" x14ac:dyDescent="0.25">
      <c r="A329" s="1" t="s">
        <v>105</v>
      </c>
      <c r="B329" s="4">
        <v>713623067</v>
      </c>
      <c r="C329" s="4">
        <v>753692633</v>
      </c>
      <c r="D329" s="4">
        <v>721414415</v>
      </c>
      <c r="E329" s="4">
        <v>583804527</v>
      </c>
      <c r="F329" s="4">
        <v>535839543</v>
      </c>
      <c r="G329" s="4">
        <v>442191608</v>
      </c>
      <c r="H329" s="4">
        <v>573388671</v>
      </c>
      <c r="I329" s="4">
        <v>571804493</v>
      </c>
      <c r="J329" s="4">
        <v>732651061</v>
      </c>
      <c r="K329" s="4">
        <v>796497343</v>
      </c>
      <c r="L329" s="4">
        <v>937832141</v>
      </c>
      <c r="M329" s="6">
        <f>Table2[[#This Row],[2025]]/SUM(Table2[2025])</f>
        <v>5.9045863004083257E-5</v>
      </c>
      <c r="N329" s="4"/>
      <c r="O329" s="1" t="s">
        <v>320</v>
      </c>
      <c r="P329" s="1" t="s">
        <v>21</v>
      </c>
      <c r="Q329" s="4">
        <v>266844014</v>
      </c>
      <c r="R329" s="4">
        <v>123981053</v>
      </c>
      <c r="S329" s="4">
        <v>141700735</v>
      </c>
      <c r="T329" s="4">
        <v>-68836185</v>
      </c>
      <c r="U329" s="4">
        <v>-40713524</v>
      </c>
      <c r="V329" s="4">
        <v>339470641</v>
      </c>
      <c r="W329" s="4">
        <v>127602667</v>
      </c>
      <c r="X329" s="4">
        <v>-14531457</v>
      </c>
      <c r="Y329" s="4">
        <v>-40650137</v>
      </c>
      <c r="Z329" s="4">
        <v>-24552050</v>
      </c>
    </row>
    <row r="330" spans="1:26" s="1" customFormat="1" ht="12.5" x14ac:dyDescent="0.25">
      <c r="A330" s="1" t="s">
        <v>480</v>
      </c>
      <c r="B330" s="1" t="s">
        <v>21</v>
      </c>
      <c r="C330" s="1" t="s">
        <v>21</v>
      </c>
      <c r="D330" s="1" t="s">
        <v>21</v>
      </c>
      <c r="E330" s="1" t="s">
        <v>21</v>
      </c>
      <c r="F330" s="1" t="s">
        <v>21</v>
      </c>
      <c r="G330" s="1" t="s">
        <v>21</v>
      </c>
      <c r="H330" s="1" t="s">
        <v>21</v>
      </c>
      <c r="I330" s="1" t="s">
        <v>21</v>
      </c>
      <c r="J330" s="1" t="s">
        <v>21</v>
      </c>
      <c r="K330" s="1" t="s">
        <v>21</v>
      </c>
      <c r="L330" s="4">
        <v>933583965</v>
      </c>
      <c r="M330" s="6">
        <f>Table2[[#This Row],[2025]]/SUM(Table2[2025])</f>
        <v>5.8778398063240253E-5</v>
      </c>
      <c r="N330" s="4"/>
      <c r="O330" s="1" t="s">
        <v>321</v>
      </c>
      <c r="P330" s="1" t="s">
        <v>21</v>
      </c>
      <c r="Q330" s="1" t="s">
        <v>21</v>
      </c>
      <c r="R330" s="4">
        <v>23054748</v>
      </c>
      <c r="S330" s="4">
        <v>484839040</v>
      </c>
      <c r="T330" s="4">
        <v>502549979</v>
      </c>
      <c r="U330" s="4">
        <v>561936553</v>
      </c>
      <c r="V330" s="4">
        <v>241203751</v>
      </c>
      <c r="W330" s="4">
        <v>220523356</v>
      </c>
      <c r="X330" s="4">
        <v>182524283</v>
      </c>
      <c r="Y330" s="4">
        <v>231854637</v>
      </c>
      <c r="Z330" s="4">
        <v>353361729</v>
      </c>
    </row>
    <row r="331" spans="1:26" s="1" customFormat="1" ht="12.5" x14ac:dyDescent="0.25">
      <c r="A331" s="1" t="s">
        <v>410</v>
      </c>
      <c r="B331" s="1" t="s">
        <v>21</v>
      </c>
      <c r="C331" s="1" t="s">
        <v>21</v>
      </c>
      <c r="D331" s="1" t="s">
        <v>21</v>
      </c>
      <c r="E331" s="1" t="s">
        <v>21</v>
      </c>
      <c r="F331" s="1" t="s">
        <v>21</v>
      </c>
      <c r="G331" s="1" t="s">
        <v>21</v>
      </c>
      <c r="H331" s="4">
        <v>182809314</v>
      </c>
      <c r="I331" s="4">
        <v>429930640</v>
      </c>
      <c r="J331" s="4">
        <v>600554381</v>
      </c>
      <c r="K331" s="4">
        <v>596296879</v>
      </c>
      <c r="L331" s="4">
        <v>930806629</v>
      </c>
      <c r="M331" s="6">
        <f>Table2[[#This Row],[2025]]/SUM(Table2[2025])</f>
        <v>5.860353713258645E-5</v>
      </c>
      <c r="N331" s="4"/>
      <c r="O331" s="1" t="s">
        <v>322</v>
      </c>
      <c r="P331" s="1" t="s">
        <v>21</v>
      </c>
      <c r="Q331" s="1" t="s">
        <v>21</v>
      </c>
      <c r="R331" s="4">
        <v>59920407</v>
      </c>
      <c r="S331" s="4">
        <v>248538869</v>
      </c>
      <c r="T331" s="4">
        <v>-7451279</v>
      </c>
      <c r="U331" s="4">
        <v>122019243</v>
      </c>
      <c r="V331" s="4">
        <v>116533944</v>
      </c>
      <c r="W331" s="4">
        <v>-39822054</v>
      </c>
      <c r="X331" s="4">
        <v>163005288</v>
      </c>
      <c r="Y331" s="4">
        <v>-39996641</v>
      </c>
      <c r="Z331" s="4">
        <v>-127471116</v>
      </c>
    </row>
    <row r="332" spans="1:26" s="1" customFormat="1" ht="12.5" x14ac:dyDescent="0.25">
      <c r="A332" s="1" t="s">
        <v>117</v>
      </c>
      <c r="B332" s="4">
        <v>930583855</v>
      </c>
      <c r="C332" s="4">
        <v>780129131</v>
      </c>
      <c r="D332" s="4">
        <v>892389858</v>
      </c>
      <c r="E332" s="4">
        <v>728427678</v>
      </c>
      <c r="F332" s="4">
        <v>702155104</v>
      </c>
      <c r="G332" s="4">
        <v>705207643</v>
      </c>
      <c r="H332" s="4">
        <v>807036030</v>
      </c>
      <c r="I332" s="4">
        <v>836070168</v>
      </c>
      <c r="J332" s="4">
        <v>863417889</v>
      </c>
      <c r="K332" s="4">
        <v>795358932</v>
      </c>
      <c r="L332" s="4">
        <v>929995438</v>
      </c>
      <c r="M332" s="6">
        <f>Table2[[#This Row],[2025]]/SUM(Table2[2025])</f>
        <v>5.8552464589257877E-5</v>
      </c>
      <c r="N332" s="4"/>
      <c r="O332" s="1" t="s">
        <v>323</v>
      </c>
      <c r="P332" s="1" t="s">
        <v>21</v>
      </c>
      <c r="Q332" s="1" t="s">
        <v>21</v>
      </c>
      <c r="R332" s="4">
        <v>982484317</v>
      </c>
      <c r="S332" s="4">
        <v>564864822</v>
      </c>
      <c r="T332" s="4">
        <v>210825903</v>
      </c>
      <c r="U332" s="4">
        <v>499840061</v>
      </c>
      <c r="V332" s="4">
        <v>698445059</v>
      </c>
      <c r="W332" s="4">
        <v>389554910</v>
      </c>
      <c r="X332" s="4">
        <v>-254948811</v>
      </c>
      <c r="Y332" s="4">
        <v>35112148</v>
      </c>
      <c r="Z332" s="4">
        <v>1418167097</v>
      </c>
    </row>
    <row r="333" spans="1:26" s="1" customFormat="1" ht="12.5" x14ac:dyDescent="0.25">
      <c r="A333" s="1" t="s">
        <v>453</v>
      </c>
      <c r="B333" s="1" t="s">
        <v>21</v>
      </c>
      <c r="C333" s="1" t="s">
        <v>21</v>
      </c>
      <c r="D333" s="1" t="s">
        <v>21</v>
      </c>
      <c r="E333" s="1" t="s">
        <v>21</v>
      </c>
      <c r="F333" s="1" t="s">
        <v>21</v>
      </c>
      <c r="G333" s="1" t="s">
        <v>21</v>
      </c>
      <c r="H333" s="1" t="s">
        <v>21</v>
      </c>
      <c r="I333" s="1" t="s">
        <v>21</v>
      </c>
      <c r="J333" s="4">
        <v>421978751</v>
      </c>
      <c r="K333" s="4">
        <v>777875134</v>
      </c>
      <c r="L333" s="4">
        <v>911781365</v>
      </c>
      <c r="M333" s="6">
        <f>Table2[[#This Row],[2025]]/SUM(Table2[2025])</f>
        <v>5.740570749693045E-5</v>
      </c>
      <c r="N333" s="4"/>
      <c r="O333" s="1" t="s">
        <v>324</v>
      </c>
      <c r="P333" s="1" t="s">
        <v>21</v>
      </c>
      <c r="Q333" s="1" t="s">
        <v>21</v>
      </c>
      <c r="R333" s="4">
        <v>177311188</v>
      </c>
      <c r="S333" s="4">
        <v>-24533373</v>
      </c>
      <c r="T333" s="4">
        <v>-44987862</v>
      </c>
      <c r="U333" s="4">
        <v>1022799</v>
      </c>
      <c r="V333" s="4">
        <v>-127727624</v>
      </c>
      <c r="W333" s="4">
        <v>-20773701</v>
      </c>
      <c r="X333" s="4">
        <v>588735744</v>
      </c>
      <c r="Y333" s="4">
        <v>78083717</v>
      </c>
      <c r="Z333" s="4">
        <v>448557394</v>
      </c>
    </row>
    <row r="334" spans="1:26" s="1" customFormat="1" ht="12.5" x14ac:dyDescent="0.25">
      <c r="A334" s="1" t="s">
        <v>330</v>
      </c>
      <c r="B334" s="1" t="s">
        <v>21</v>
      </c>
      <c r="C334" s="1" t="s">
        <v>21</v>
      </c>
      <c r="D334" s="4">
        <v>219994466</v>
      </c>
      <c r="E334" s="4">
        <v>296429840</v>
      </c>
      <c r="F334" s="4">
        <v>338998289</v>
      </c>
      <c r="G334" s="4">
        <v>424542916</v>
      </c>
      <c r="H334" s="4">
        <v>571669763</v>
      </c>
      <c r="I334" s="4">
        <v>560321945</v>
      </c>
      <c r="J334" s="4">
        <v>633271824</v>
      </c>
      <c r="K334" s="4">
        <v>881725187</v>
      </c>
      <c r="L334" s="4">
        <v>878106794</v>
      </c>
      <c r="M334" s="6">
        <f>Table2[[#This Row],[2025]]/SUM(Table2[2025])</f>
        <v>5.5285558251600549E-5</v>
      </c>
      <c r="N334" s="4"/>
      <c r="O334" s="1" t="s">
        <v>325</v>
      </c>
      <c r="P334" s="1" t="s">
        <v>21</v>
      </c>
      <c r="Q334" s="1" t="s">
        <v>21</v>
      </c>
      <c r="R334" s="4">
        <v>2866157721</v>
      </c>
      <c r="S334" s="4">
        <v>1571066976</v>
      </c>
      <c r="T334" s="4">
        <v>6302255114</v>
      </c>
      <c r="U334" s="4">
        <v>5626809264</v>
      </c>
      <c r="V334" s="4">
        <v>2626935278</v>
      </c>
      <c r="W334" s="4">
        <v>2958825272</v>
      </c>
      <c r="X334" s="4">
        <v>9590385588</v>
      </c>
      <c r="Y334" s="4">
        <v>11375226059</v>
      </c>
      <c r="Z334" s="4">
        <v>6371199496</v>
      </c>
    </row>
    <row r="335" spans="1:26" s="1" customFormat="1" ht="12.5" x14ac:dyDescent="0.25">
      <c r="A335" s="1" t="s">
        <v>450</v>
      </c>
      <c r="B335" s="1" t="s">
        <v>21</v>
      </c>
      <c r="C335" s="1" t="s">
        <v>21</v>
      </c>
      <c r="D335" s="1" t="s">
        <v>21</v>
      </c>
      <c r="E335" s="1" t="s">
        <v>21</v>
      </c>
      <c r="F335" s="1" t="s">
        <v>21</v>
      </c>
      <c r="G335" s="1" t="s">
        <v>21</v>
      </c>
      <c r="H335" s="1" t="s">
        <v>21</v>
      </c>
      <c r="I335" s="1" t="s">
        <v>21</v>
      </c>
      <c r="J335" s="4">
        <v>981802786</v>
      </c>
      <c r="K335" s="4">
        <v>1051345673</v>
      </c>
      <c r="L335" s="4">
        <v>869173699</v>
      </c>
      <c r="M335" s="6">
        <f>Table2[[#This Row],[2025]]/SUM(Table2[2025])</f>
        <v>5.4723131053264145E-5</v>
      </c>
      <c r="N335" s="4"/>
      <c r="O335" s="1" t="s">
        <v>326</v>
      </c>
      <c r="P335" s="1" t="s">
        <v>21</v>
      </c>
      <c r="Q335" s="1" t="s">
        <v>21</v>
      </c>
      <c r="R335" s="4">
        <v>110463754</v>
      </c>
      <c r="S335" s="4">
        <v>55931202</v>
      </c>
      <c r="T335" s="4">
        <v>343769062</v>
      </c>
      <c r="U335" s="4">
        <v>180127552</v>
      </c>
      <c r="V335" s="4">
        <v>68989223</v>
      </c>
      <c r="W335" s="4">
        <v>-53529114</v>
      </c>
      <c r="X335" s="4">
        <v>-53215725</v>
      </c>
      <c r="Y335" s="4">
        <v>-80193527</v>
      </c>
      <c r="Z335" s="4">
        <v>31526981</v>
      </c>
    </row>
    <row r="336" spans="1:26" s="1" customFormat="1" ht="12.5" x14ac:dyDescent="0.25">
      <c r="A336" s="1" t="s">
        <v>62</v>
      </c>
      <c r="B336" s="4">
        <v>289538463</v>
      </c>
      <c r="C336" s="4">
        <v>396844427</v>
      </c>
      <c r="D336" s="4">
        <v>467591359</v>
      </c>
      <c r="E336" s="4">
        <v>450700027</v>
      </c>
      <c r="F336" s="4">
        <v>521238487</v>
      </c>
      <c r="G336" s="4">
        <v>557412879</v>
      </c>
      <c r="H336" s="4">
        <v>726095221</v>
      </c>
      <c r="I336" s="4">
        <v>755693232</v>
      </c>
      <c r="J336" s="4">
        <v>791874238</v>
      </c>
      <c r="K336" s="4">
        <v>735868994</v>
      </c>
      <c r="L336" s="4">
        <v>863688432</v>
      </c>
      <c r="M336" s="6">
        <f>Table2[[#This Row],[2025]]/SUM(Table2[2025])</f>
        <v>5.4377778927160353E-5</v>
      </c>
      <c r="N336" s="4"/>
      <c r="O336" s="1" t="s">
        <v>327</v>
      </c>
      <c r="P336" s="1" t="s">
        <v>21</v>
      </c>
      <c r="Q336" s="1" t="s">
        <v>21</v>
      </c>
      <c r="R336" s="4">
        <v>159981548</v>
      </c>
      <c r="S336" s="4">
        <v>116868263</v>
      </c>
      <c r="T336" s="4">
        <v>93501690</v>
      </c>
      <c r="U336" s="4">
        <v>-2496764</v>
      </c>
      <c r="V336" s="4">
        <v>110356390</v>
      </c>
      <c r="W336" s="4">
        <v>119052086</v>
      </c>
      <c r="X336" s="4">
        <v>139755429</v>
      </c>
      <c r="Y336" s="4">
        <v>251500781</v>
      </c>
      <c r="Z336" s="4">
        <v>97987511</v>
      </c>
    </row>
    <row r="337" spans="1:26" s="1" customFormat="1" ht="12.5" x14ac:dyDescent="0.25">
      <c r="A337" s="1" t="s">
        <v>355</v>
      </c>
      <c r="B337" s="1" t="s">
        <v>21</v>
      </c>
      <c r="C337" s="1" t="s">
        <v>21</v>
      </c>
      <c r="D337" s="1" t="s">
        <v>21</v>
      </c>
      <c r="E337" s="4">
        <v>912684447</v>
      </c>
      <c r="F337" s="4">
        <v>1331550402</v>
      </c>
      <c r="G337" s="4">
        <v>1471296404</v>
      </c>
      <c r="H337" s="4">
        <v>1904947375</v>
      </c>
      <c r="I337" s="4">
        <v>2083338917</v>
      </c>
      <c r="J337" s="4">
        <v>2522777704</v>
      </c>
      <c r="K337" s="4">
        <v>2659270964</v>
      </c>
      <c r="L337" s="4">
        <v>839675532</v>
      </c>
      <c r="M337" s="6">
        <f>Table2[[#This Row],[2025]]/SUM(Table2[2025])</f>
        <v>5.2865927987376073E-5</v>
      </c>
      <c r="N337" s="4"/>
      <c r="O337" s="1" t="s">
        <v>328</v>
      </c>
      <c r="P337" s="1" t="s">
        <v>21</v>
      </c>
      <c r="Q337" s="1" t="s">
        <v>21</v>
      </c>
      <c r="R337" s="4">
        <v>77185454</v>
      </c>
      <c r="S337" s="4">
        <v>94802445</v>
      </c>
      <c r="T337" s="4">
        <v>91052611</v>
      </c>
      <c r="U337" s="4">
        <v>5518560</v>
      </c>
      <c r="V337" s="4">
        <v>25345586</v>
      </c>
      <c r="W337" s="4">
        <v>-50748771</v>
      </c>
      <c r="X337" s="4">
        <v>-4400233</v>
      </c>
      <c r="Y337" s="4">
        <v>243867875</v>
      </c>
      <c r="Z337" s="4">
        <v>201335854</v>
      </c>
    </row>
    <row r="338" spans="1:26" s="1" customFormat="1" ht="12.5" x14ac:dyDescent="0.25">
      <c r="A338" s="1" t="s">
        <v>322</v>
      </c>
      <c r="B338" s="1" t="s">
        <v>21</v>
      </c>
      <c r="C338" s="1" t="s">
        <v>21</v>
      </c>
      <c r="D338" s="4">
        <v>57126878</v>
      </c>
      <c r="E338" s="4">
        <v>312898779</v>
      </c>
      <c r="F338" s="4">
        <v>419918657</v>
      </c>
      <c r="G338" s="4">
        <v>599897185</v>
      </c>
      <c r="H338" s="4">
        <v>881685046</v>
      </c>
      <c r="I338" s="4">
        <v>520927869</v>
      </c>
      <c r="J338" s="4">
        <v>892287190</v>
      </c>
      <c r="K338" s="4">
        <v>915427796</v>
      </c>
      <c r="L338" s="4">
        <v>839110779</v>
      </c>
      <c r="M338" s="6">
        <f>Table2[[#This Row],[2025]]/SUM(Table2[2025])</f>
        <v>5.2830371167758455E-5</v>
      </c>
      <c r="N338" s="4"/>
      <c r="O338" s="1" t="s">
        <v>329</v>
      </c>
      <c r="P338" s="1" t="s">
        <v>21</v>
      </c>
      <c r="Q338" s="1" t="s">
        <v>21</v>
      </c>
      <c r="R338" s="4">
        <v>54049270</v>
      </c>
      <c r="S338" s="4">
        <v>263753162</v>
      </c>
      <c r="T338" s="4">
        <v>343696620</v>
      </c>
      <c r="U338" s="4">
        <v>308941652</v>
      </c>
      <c r="V338" s="4">
        <v>269005175</v>
      </c>
      <c r="W338" s="4">
        <v>198079375</v>
      </c>
      <c r="X338" s="4">
        <v>-268639658</v>
      </c>
      <c r="Y338" s="4">
        <v>-302392619</v>
      </c>
      <c r="Z338" s="4">
        <v>-467105</v>
      </c>
    </row>
    <row r="339" spans="1:26" s="1" customFormat="1" ht="12.5" x14ac:dyDescent="0.25">
      <c r="A339" s="1" t="s">
        <v>66</v>
      </c>
      <c r="B339" s="4">
        <v>308427374</v>
      </c>
      <c r="C339" s="4">
        <v>354947417</v>
      </c>
      <c r="D339" s="4">
        <v>402983732</v>
      </c>
      <c r="E339" s="4">
        <v>274189709</v>
      </c>
      <c r="F339" s="4">
        <v>243041293</v>
      </c>
      <c r="G339" s="4">
        <v>238638425</v>
      </c>
      <c r="H339" s="4">
        <v>240184376</v>
      </c>
      <c r="I339" s="4">
        <v>224987523</v>
      </c>
      <c r="J339" s="4">
        <v>3434935</v>
      </c>
      <c r="K339" s="4">
        <v>658993512</v>
      </c>
      <c r="L339" s="4">
        <v>835812998</v>
      </c>
      <c r="M339" s="6">
        <f>Table2[[#This Row],[2025]]/SUM(Table2[2025])</f>
        <v>5.2622743046871237E-5</v>
      </c>
      <c r="N339" s="4"/>
      <c r="O339" s="1" t="s">
        <v>330</v>
      </c>
      <c r="P339" s="1" t="s">
        <v>21</v>
      </c>
      <c r="Q339" s="1" t="s">
        <v>21</v>
      </c>
      <c r="R339" s="4">
        <v>212837892</v>
      </c>
      <c r="S339" s="4">
        <v>87550220</v>
      </c>
      <c r="T339" s="4">
        <v>20906891</v>
      </c>
      <c r="U339" s="4">
        <v>61860453</v>
      </c>
      <c r="V339" s="4">
        <v>70775210</v>
      </c>
      <c r="W339" s="4">
        <v>16400030</v>
      </c>
      <c r="X339" s="4">
        <v>-8298243</v>
      </c>
      <c r="Y339" s="4">
        <v>169153609</v>
      </c>
      <c r="Z339" s="4">
        <v>-47894994</v>
      </c>
    </row>
    <row r="340" spans="1:26" s="1" customFormat="1" ht="12.5" x14ac:dyDescent="0.25">
      <c r="A340" s="1" t="s">
        <v>349</v>
      </c>
      <c r="B340" s="1" t="s">
        <v>21</v>
      </c>
      <c r="C340" s="1" t="s">
        <v>21</v>
      </c>
      <c r="D340" s="1" t="s">
        <v>21</v>
      </c>
      <c r="E340" s="4">
        <v>230838142</v>
      </c>
      <c r="F340" s="4">
        <v>725307614</v>
      </c>
      <c r="G340" s="4">
        <v>529042324</v>
      </c>
      <c r="H340" s="4">
        <v>553363296</v>
      </c>
      <c r="I340" s="4">
        <v>560641073</v>
      </c>
      <c r="J340" s="4">
        <v>550101424</v>
      </c>
      <c r="K340" s="4">
        <v>694798406</v>
      </c>
      <c r="L340" s="4">
        <v>831912049</v>
      </c>
      <c r="M340" s="6">
        <f>Table2[[#This Row],[2025]]/SUM(Table2[2025])</f>
        <v>5.2377139499956844E-5</v>
      </c>
      <c r="N340" s="4"/>
      <c r="O340" s="1" t="s">
        <v>331</v>
      </c>
      <c r="P340" s="1" t="s">
        <v>21</v>
      </c>
      <c r="Q340" s="1" t="s">
        <v>21</v>
      </c>
      <c r="R340" s="4">
        <v>1891784415</v>
      </c>
      <c r="S340" s="4">
        <v>-17690089</v>
      </c>
      <c r="T340" s="4">
        <v>-164338388</v>
      </c>
      <c r="U340" s="4">
        <v>-127539253</v>
      </c>
      <c r="V340" s="4">
        <v>7368765</v>
      </c>
      <c r="W340" s="4">
        <v>386108408</v>
      </c>
      <c r="X340" s="4">
        <v>-79248517</v>
      </c>
      <c r="Y340" s="4">
        <v>-138411590</v>
      </c>
      <c r="Z340" s="4">
        <v>56223386</v>
      </c>
    </row>
    <row r="341" spans="1:26" s="1" customFormat="1" ht="12.5" x14ac:dyDescent="0.25">
      <c r="A341" s="1" t="s">
        <v>295</v>
      </c>
      <c r="B341" s="1" t="s">
        <v>21</v>
      </c>
      <c r="C341" s="4">
        <v>63273079</v>
      </c>
      <c r="D341" s="4">
        <v>54598145</v>
      </c>
      <c r="E341" s="4">
        <v>177887533</v>
      </c>
      <c r="F341" s="4">
        <v>167676513</v>
      </c>
      <c r="G341" s="4">
        <v>218893865</v>
      </c>
      <c r="H341" s="4">
        <v>278195451</v>
      </c>
      <c r="I341" s="4">
        <v>391120910</v>
      </c>
      <c r="J341" s="4">
        <v>425603623</v>
      </c>
      <c r="K341" s="4">
        <v>591828152</v>
      </c>
      <c r="L341" s="4">
        <v>826340097</v>
      </c>
      <c r="M341" s="6">
        <f>Table2[[#This Row],[2025]]/SUM(Table2[2025])</f>
        <v>5.2026329690744594E-5</v>
      </c>
      <c r="N341" s="4"/>
      <c r="O341" s="1" t="s">
        <v>332</v>
      </c>
      <c r="P341" s="1" t="s">
        <v>21</v>
      </c>
      <c r="Q341" s="1" t="s">
        <v>21</v>
      </c>
      <c r="R341" s="4">
        <v>172334786</v>
      </c>
      <c r="S341" s="4">
        <v>25754958</v>
      </c>
      <c r="T341" s="4">
        <v>31337723</v>
      </c>
      <c r="U341" s="4">
        <v>-11313204</v>
      </c>
      <c r="V341" s="4">
        <v>41365455</v>
      </c>
      <c r="W341" s="4">
        <v>5537993</v>
      </c>
      <c r="X341" s="4">
        <v>132635608</v>
      </c>
      <c r="Y341" s="4">
        <v>41433770</v>
      </c>
      <c r="Z341" s="4">
        <v>1942848</v>
      </c>
    </row>
    <row r="342" spans="1:26" s="1" customFormat="1" ht="12.5" x14ac:dyDescent="0.25">
      <c r="A342" s="1" t="s">
        <v>448</v>
      </c>
      <c r="B342" s="1" t="s">
        <v>21</v>
      </c>
      <c r="C342" s="1" t="s">
        <v>21</v>
      </c>
      <c r="D342" s="1" t="s">
        <v>21</v>
      </c>
      <c r="E342" s="1" t="s">
        <v>21</v>
      </c>
      <c r="F342" s="1" t="s">
        <v>21</v>
      </c>
      <c r="G342" s="1" t="s">
        <v>21</v>
      </c>
      <c r="H342" s="1" t="s">
        <v>21</v>
      </c>
      <c r="I342" s="4">
        <v>214901117</v>
      </c>
      <c r="J342" s="4">
        <v>351401648</v>
      </c>
      <c r="K342" s="4">
        <v>644896840</v>
      </c>
      <c r="L342" s="4">
        <v>821612115</v>
      </c>
      <c r="M342" s="6">
        <f>Table2[[#This Row],[2025]]/SUM(Table2[2025])</f>
        <v>5.1728656189002484E-5</v>
      </c>
      <c r="N342" s="4"/>
      <c r="O342" s="1" t="s">
        <v>333</v>
      </c>
      <c r="P342" s="1" t="s">
        <v>21</v>
      </c>
      <c r="Q342" s="1" t="s">
        <v>21</v>
      </c>
      <c r="R342" s="4">
        <v>29285</v>
      </c>
      <c r="S342" s="4">
        <v>2138451</v>
      </c>
      <c r="T342" s="4">
        <v>46016466</v>
      </c>
      <c r="U342" s="4">
        <v>49746745</v>
      </c>
      <c r="V342" s="4">
        <v>5535814</v>
      </c>
      <c r="W342" s="4">
        <v>3652262</v>
      </c>
      <c r="X342" s="4">
        <v>-39539833</v>
      </c>
      <c r="Y342" s="4">
        <v>-26685793</v>
      </c>
      <c r="Z342" s="4">
        <v>8102830</v>
      </c>
    </row>
    <row r="343" spans="1:26" s="1" customFormat="1" ht="12.5" x14ac:dyDescent="0.25">
      <c r="A343" s="1" t="s">
        <v>475</v>
      </c>
      <c r="B343" s="1" t="s">
        <v>21</v>
      </c>
      <c r="C343" s="1" t="s">
        <v>21</v>
      </c>
      <c r="D343" s="1" t="s">
        <v>21</v>
      </c>
      <c r="E343" s="1" t="s">
        <v>21</v>
      </c>
      <c r="F343" s="1" t="s">
        <v>21</v>
      </c>
      <c r="G343" s="1" t="s">
        <v>21</v>
      </c>
      <c r="H343" s="1" t="s">
        <v>21</v>
      </c>
      <c r="I343" s="1" t="s">
        <v>21</v>
      </c>
      <c r="J343" s="1" t="s">
        <v>21</v>
      </c>
      <c r="K343" s="4">
        <v>324966166</v>
      </c>
      <c r="L343" s="4">
        <v>804206064</v>
      </c>
      <c r="M343" s="6">
        <f>Table2[[#This Row],[2025]]/SUM(Table2[2025])</f>
        <v>5.0632772119927815E-5</v>
      </c>
      <c r="N343" s="4"/>
      <c r="O343" s="1" t="s">
        <v>334</v>
      </c>
      <c r="P343" s="1" t="s">
        <v>21</v>
      </c>
      <c r="Q343" s="1" t="s">
        <v>21</v>
      </c>
      <c r="R343" s="4">
        <v>-765125</v>
      </c>
      <c r="S343" s="4">
        <v>74699962</v>
      </c>
      <c r="T343" s="4">
        <v>220158487</v>
      </c>
      <c r="U343" s="4">
        <v>13751101</v>
      </c>
      <c r="V343" s="4">
        <v>176325782</v>
      </c>
      <c r="W343" s="4">
        <v>3959997</v>
      </c>
      <c r="X343" s="4">
        <v>-67794301</v>
      </c>
      <c r="Y343" s="4">
        <v>57586109</v>
      </c>
      <c r="Z343" s="4">
        <v>-1844712</v>
      </c>
    </row>
    <row r="344" spans="1:26" s="1" customFormat="1" ht="12.5" x14ac:dyDescent="0.25">
      <c r="A344" s="1" t="s">
        <v>294</v>
      </c>
      <c r="B344" s="1" t="s">
        <v>21</v>
      </c>
      <c r="C344" s="4">
        <v>82511861</v>
      </c>
      <c r="D344" s="4">
        <v>79481867</v>
      </c>
      <c r="E344" s="4">
        <v>86205883</v>
      </c>
      <c r="F344" s="4">
        <v>104592497</v>
      </c>
      <c r="G344" s="4">
        <v>412733068</v>
      </c>
      <c r="H344" s="4">
        <v>482985629</v>
      </c>
      <c r="I344" s="4">
        <v>487425529</v>
      </c>
      <c r="J344" s="4">
        <v>532858455</v>
      </c>
      <c r="K344" s="4">
        <v>632496869</v>
      </c>
      <c r="L344" s="4">
        <v>799110441</v>
      </c>
      <c r="M344" s="6">
        <f>Table2[[#This Row],[2025]]/SUM(Table2[2025])</f>
        <v>5.0311951959874827E-5</v>
      </c>
      <c r="N344" s="4"/>
      <c r="O344" s="1" t="s">
        <v>335</v>
      </c>
      <c r="P344" s="1" t="s">
        <v>21</v>
      </c>
      <c r="Q344" s="1" t="s">
        <v>21</v>
      </c>
      <c r="R344" s="4">
        <v>134494605</v>
      </c>
      <c r="S344" s="4">
        <v>97378326</v>
      </c>
      <c r="T344" s="4">
        <v>78013575</v>
      </c>
      <c r="U344" s="4">
        <v>15311759</v>
      </c>
      <c r="V344" s="4">
        <v>56002631</v>
      </c>
      <c r="W344" s="4">
        <v>-6097403</v>
      </c>
      <c r="X344" s="4">
        <v>25051623</v>
      </c>
      <c r="Y344" s="4">
        <v>94423974</v>
      </c>
      <c r="Z344" s="4">
        <v>239802170</v>
      </c>
    </row>
    <row r="345" spans="1:26" s="1" customFormat="1" ht="12.5" x14ac:dyDescent="0.25">
      <c r="A345" s="1" t="s">
        <v>74</v>
      </c>
      <c r="B345" s="4">
        <v>393340117</v>
      </c>
      <c r="C345" s="4">
        <v>414632522</v>
      </c>
      <c r="D345" s="4">
        <v>449634469</v>
      </c>
      <c r="E345" s="4">
        <v>440343905</v>
      </c>
      <c r="F345" s="4">
        <v>502422251</v>
      </c>
      <c r="G345" s="4">
        <v>507758839</v>
      </c>
      <c r="H345" s="4">
        <v>602964926</v>
      </c>
      <c r="I345" s="4">
        <v>600249879</v>
      </c>
      <c r="J345" s="4">
        <v>633080960</v>
      </c>
      <c r="K345" s="4">
        <v>681682450</v>
      </c>
      <c r="L345" s="4">
        <v>796652298</v>
      </c>
      <c r="M345" s="7">
        <f>Table2[[#This Row],[2025]]/SUM(Table2[2025])</f>
        <v>5.0157187403962209E-5</v>
      </c>
      <c r="O345" s="1" t="s">
        <v>336</v>
      </c>
      <c r="P345" s="1" t="s">
        <v>21</v>
      </c>
      <c r="Q345" s="1" t="s">
        <v>21</v>
      </c>
      <c r="R345" s="4">
        <v>127359971</v>
      </c>
      <c r="S345" s="4">
        <v>-82826036</v>
      </c>
      <c r="T345" s="4">
        <v>12654291</v>
      </c>
      <c r="U345" s="4">
        <v>-12847647</v>
      </c>
      <c r="V345" s="4">
        <v>1611232</v>
      </c>
      <c r="W345" s="1" t="s">
        <v>21</v>
      </c>
      <c r="X345" s="1" t="s">
        <v>21</v>
      </c>
      <c r="Y345" s="1" t="s">
        <v>21</v>
      </c>
      <c r="Z345" s="1" t="s">
        <v>21</v>
      </c>
    </row>
    <row r="346" spans="1:26" s="1" customFormat="1" ht="12.5" x14ac:dyDescent="0.25">
      <c r="A346" s="1" t="s">
        <v>508</v>
      </c>
      <c r="B346" s="1" t="s">
        <v>21</v>
      </c>
      <c r="C346" s="1" t="s">
        <v>21</v>
      </c>
      <c r="D346" s="1" t="s">
        <v>21</v>
      </c>
      <c r="E346" s="1" t="s">
        <v>21</v>
      </c>
      <c r="F346" s="1" t="s">
        <v>21</v>
      </c>
      <c r="G346" s="1" t="s">
        <v>21</v>
      </c>
      <c r="H346" s="1" t="s">
        <v>21</v>
      </c>
      <c r="I346" s="1" t="s">
        <v>21</v>
      </c>
      <c r="J346" s="1" t="s">
        <v>21</v>
      </c>
      <c r="K346" s="1" t="s">
        <v>21</v>
      </c>
      <c r="L346" s="4">
        <v>794735843</v>
      </c>
      <c r="M346" s="6">
        <f>Table2[[#This Row],[2025]]/SUM(Table2[2025])</f>
        <v>5.0036527496462309E-5</v>
      </c>
      <c r="N346" s="4"/>
      <c r="O346" s="1" t="s">
        <v>337</v>
      </c>
      <c r="P346" s="1" t="s">
        <v>21</v>
      </c>
      <c r="Q346" s="1" t="s">
        <v>21</v>
      </c>
      <c r="R346" s="4">
        <v>541793994</v>
      </c>
      <c r="S346" s="4">
        <v>891782820</v>
      </c>
      <c r="T346" s="4">
        <v>221837070</v>
      </c>
      <c r="U346" s="4">
        <v>751158328</v>
      </c>
      <c r="V346" s="4">
        <v>355553871</v>
      </c>
      <c r="W346" s="4">
        <v>398688007</v>
      </c>
      <c r="X346" s="4">
        <v>159754650</v>
      </c>
      <c r="Y346" s="4">
        <v>-1018308837</v>
      </c>
      <c r="Z346" s="4">
        <v>-770747164</v>
      </c>
    </row>
    <row r="347" spans="1:26" s="1" customFormat="1" ht="12.5" x14ac:dyDescent="0.25">
      <c r="A347" s="1" t="s">
        <v>39</v>
      </c>
      <c r="B347" s="4">
        <v>80976516</v>
      </c>
      <c r="C347" s="4">
        <v>55548760</v>
      </c>
      <c r="D347" s="4">
        <v>87891717</v>
      </c>
      <c r="E347" s="4">
        <v>206180149</v>
      </c>
      <c r="F347" s="4">
        <v>231553945</v>
      </c>
      <c r="G347" s="4">
        <v>270765316</v>
      </c>
      <c r="H347" s="4">
        <v>320981130</v>
      </c>
      <c r="I347" s="4">
        <v>421794839</v>
      </c>
      <c r="J347" s="4">
        <v>543728527</v>
      </c>
      <c r="K347" s="4">
        <v>563691092</v>
      </c>
      <c r="L347" s="4">
        <v>788631125</v>
      </c>
      <c r="M347" s="6">
        <f>Table2[[#This Row],[2025]]/SUM(Table2[2025])</f>
        <v>4.965217476749505E-5</v>
      </c>
      <c r="N347" s="4"/>
      <c r="O347" s="1" t="s">
        <v>338</v>
      </c>
      <c r="P347" s="1" t="s">
        <v>21</v>
      </c>
      <c r="Q347" s="1" t="s">
        <v>21</v>
      </c>
      <c r="R347" s="4">
        <v>4855642</v>
      </c>
      <c r="S347" s="4">
        <v>22204905</v>
      </c>
      <c r="T347" s="4">
        <v>86687399</v>
      </c>
      <c r="U347" s="4">
        <v>59539174</v>
      </c>
      <c r="V347" s="4">
        <v>66496150</v>
      </c>
      <c r="W347" s="4">
        <v>148486875</v>
      </c>
      <c r="X347" s="4">
        <v>81739585</v>
      </c>
      <c r="Y347" s="4">
        <v>90204707</v>
      </c>
      <c r="Z347" s="4">
        <v>57056511</v>
      </c>
    </row>
    <row r="348" spans="1:26" s="1" customFormat="1" ht="12.5" x14ac:dyDescent="0.25">
      <c r="A348" s="1" t="s">
        <v>96</v>
      </c>
      <c r="B348" s="4">
        <v>606412049</v>
      </c>
      <c r="C348" s="4">
        <v>815382486</v>
      </c>
      <c r="D348" s="4">
        <v>857514745</v>
      </c>
      <c r="E348" s="4">
        <v>616321602</v>
      </c>
      <c r="F348" s="4">
        <v>627769188</v>
      </c>
      <c r="G348" s="4">
        <v>537107273</v>
      </c>
      <c r="H348" s="4">
        <v>548744891</v>
      </c>
      <c r="I348" s="4">
        <v>486200527</v>
      </c>
      <c r="J348" s="4">
        <v>527815459</v>
      </c>
      <c r="K348" s="4">
        <v>626159838</v>
      </c>
      <c r="L348" s="4">
        <v>785554963</v>
      </c>
      <c r="M348" s="6">
        <f>Table2[[#This Row],[2025]]/SUM(Table2[2025])</f>
        <v>4.9458499767364753E-5</v>
      </c>
      <c r="N348" s="4"/>
      <c r="O348" s="1" t="s">
        <v>339</v>
      </c>
      <c r="P348" s="1" t="s">
        <v>21</v>
      </c>
      <c r="Q348" s="1" t="s">
        <v>21</v>
      </c>
      <c r="R348" s="4">
        <v>89689133</v>
      </c>
      <c r="S348" s="4">
        <v>1076166</v>
      </c>
      <c r="T348" s="4">
        <v>736423</v>
      </c>
      <c r="U348" s="4">
        <v>-9437054</v>
      </c>
      <c r="V348" s="4">
        <v>-576325</v>
      </c>
      <c r="W348" s="4">
        <v>6808046</v>
      </c>
      <c r="X348" s="4">
        <v>-27705898</v>
      </c>
      <c r="Y348" s="4">
        <v>3076512</v>
      </c>
      <c r="Z348" s="4">
        <v>-5475165</v>
      </c>
    </row>
    <row r="349" spans="1:26" s="1" customFormat="1" ht="12.5" x14ac:dyDescent="0.25">
      <c r="A349" s="1" t="s">
        <v>310</v>
      </c>
      <c r="B349" s="1" t="s">
        <v>21</v>
      </c>
      <c r="C349" s="4">
        <v>85800880</v>
      </c>
      <c r="D349" s="4">
        <v>153641139</v>
      </c>
      <c r="E349" s="4">
        <v>272947776</v>
      </c>
      <c r="F349" s="4">
        <v>308297738</v>
      </c>
      <c r="G349" s="4">
        <v>355556122</v>
      </c>
      <c r="H349" s="4">
        <v>485869721</v>
      </c>
      <c r="I349" s="4">
        <v>497097743</v>
      </c>
      <c r="J349" s="4">
        <v>545063805</v>
      </c>
      <c r="K349" s="4">
        <v>604377495</v>
      </c>
      <c r="L349" s="4">
        <v>783266512</v>
      </c>
      <c r="M349" s="6">
        <f>Table2[[#This Row],[2025]]/SUM(Table2[2025])</f>
        <v>4.9314419010979636E-5</v>
      </c>
      <c r="N349" s="4"/>
      <c r="O349" s="1" t="s">
        <v>340</v>
      </c>
      <c r="P349" s="1" t="s">
        <v>21</v>
      </c>
      <c r="Q349" s="1" t="s">
        <v>21</v>
      </c>
      <c r="R349" s="4">
        <v>412089092</v>
      </c>
      <c r="S349" s="4">
        <v>232027160</v>
      </c>
      <c r="T349" s="4">
        <v>-232306112</v>
      </c>
      <c r="U349" s="4">
        <v>210196735</v>
      </c>
      <c r="V349" s="4">
        <v>150947181</v>
      </c>
      <c r="W349" s="4">
        <v>193523315</v>
      </c>
      <c r="X349" s="4">
        <v>36807706</v>
      </c>
      <c r="Y349" s="4">
        <v>184893869</v>
      </c>
      <c r="Z349" s="4">
        <v>185417245</v>
      </c>
    </row>
    <row r="350" spans="1:26" s="1" customFormat="1" ht="12.5" x14ac:dyDescent="0.25">
      <c r="A350" s="1" t="s">
        <v>421</v>
      </c>
      <c r="B350" s="1" t="s">
        <v>21</v>
      </c>
      <c r="C350" s="1" t="s">
        <v>21</v>
      </c>
      <c r="D350" s="1" t="s">
        <v>21</v>
      </c>
      <c r="E350" s="1" t="s">
        <v>21</v>
      </c>
      <c r="F350" s="1" t="s">
        <v>21</v>
      </c>
      <c r="G350" s="1" t="s">
        <v>21</v>
      </c>
      <c r="H350" s="1" t="s">
        <v>21</v>
      </c>
      <c r="I350" s="1" t="s">
        <v>21</v>
      </c>
      <c r="J350" s="1" t="s">
        <v>21</v>
      </c>
      <c r="K350" s="4">
        <v>616600241</v>
      </c>
      <c r="L350" s="4">
        <v>779156851</v>
      </c>
      <c r="M350" s="6">
        <f>Table2[[#This Row],[2025]]/SUM(Table2[2025])</f>
        <v>4.9055674967359548E-5</v>
      </c>
      <c r="N350" s="4"/>
      <c r="O350" s="1" t="s">
        <v>341</v>
      </c>
      <c r="P350" s="1" t="s">
        <v>21</v>
      </c>
      <c r="Q350" s="1" t="s">
        <v>21</v>
      </c>
      <c r="R350" s="4">
        <v>47363397</v>
      </c>
      <c r="S350" s="4">
        <v>-2240062</v>
      </c>
      <c r="T350" s="4">
        <v>191012995</v>
      </c>
      <c r="U350" s="4">
        <v>50012465</v>
      </c>
      <c r="V350" s="4">
        <v>-7267150</v>
      </c>
      <c r="W350" s="4">
        <v>-25995731</v>
      </c>
      <c r="X350" s="4">
        <v>-308169558</v>
      </c>
      <c r="Y350" s="4">
        <v>4326342</v>
      </c>
      <c r="Z350" s="4">
        <v>4988581</v>
      </c>
    </row>
    <row r="351" spans="1:26" s="1" customFormat="1" ht="12.5" x14ac:dyDescent="0.25">
      <c r="A351" s="1" t="s">
        <v>120</v>
      </c>
      <c r="B351" s="4">
        <v>1030144726</v>
      </c>
      <c r="C351" s="4">
        <v>889193661</v>
      </c>
      <c r="D351" s="4">
        <v>819831549</v>
      </c>
      <c r="E351" s="4">
        <v>715426059</v>
      </c>
      <c r="F351" s="4">
        <v>719923191</v>
      </c>
      <c r="G351" s="4">
        <v>694090300</v>
      </c>
      <c r="H351" s="4">
        <v>788976265</v>
      </c>
      <c r="I351" s="4">
        <v>737842285</v>
      </c>
      <c r="J351" s="4">
        <v>753916835</v>
      </c>
      <c r="K351" s="4">
        <v>757839537</v>
      </c>
      <c r="L351" s="4">
        <v>778029196</v>
      </c>
      <c r="M351" s="6">
        <f>Table2[[#This Row],[2025]]/SUM(Table2[2025])</f>
        <v>4.8984677866988396E-5</v>
      </c>
      <c r="N351" s="4"/>
      <c r="O351" s="1" t="s">
        <v>342</v>
      </c>
      <c r="P351" s="1" t="s">
        <v>21</v>
      </c>
      <c r="Q351" s="1" t="s">
        <v>21</v>
      </c>
      <c r="R351" s="4">
        <v>12310555</v>
      </c>
      <c r="S351" s="4">
        <v>194520717</v>
      </c>
      <c r="T351" s="4">
        <v>107202377</v>
      </c>
      <c r="U351" s="4">
        <v>57085339</v>
      </c>
      <c r="V351" s="4">
        <v>76848716</v>
      </c>
      <c r="W351" s="4">
        <v>2709155</v>
      </c>
      <c r="X351" s="4">
        <v>-32392874</v>
      </c>
      <c r="Y351" s="4">
        <v>-6799367</v>
      </c>
      <c r="Z351" s="4">
        <v>-495884</v>
      </c>
    </row>
    <row r="352" spans="1:26" s="1" customFormat="1" ht="12.5" x14ac:dyDescent="0.25">
      <c r="A352" s="1" t="s">
        <v>400</v>
      </c>
      <c r="B352" s="1" t="s">
        <v>21</v>
      </c>
      <c r="C352" s="1" t="s">
        <v>21</v>
      </c>
      <c r="D352" s="1" t="s">
        <v>21</v>
      </c>
      <c r="E352" s="1" t="s">
        <v>21</v>
      </c>
      <c r="F352" s="1" t="s">
        <v>21</v>
      </c>
      <c r="G352" s="4">
        <v>2028553</v>
      </c>
      <c r="H352" s="4">
        <v>91437101</v>
      </c>
      <c r="I352" s="4">
        <v>498971939</v>
      </c>
      <c r="J352" s="4">
        <v>579673029</v>
      </c>
      <c r="K352" s="4">
        <v>622776868</v>
      </c>
      <c r="L352" s="4">
        <v>777020022</v>
      </c>
      <c r="M352" s="6">
        <f>Table2[[#This Row],[2025]]/SUM(Table2[2025])</f>
        <v>4.8921140324238213E-5</v>
      </c>
      <c r="N352" s="4"/>
      <c r="O352" s="1" t="s">
        <v>343</v>
      </c>
      <c r="P352" s="1" t="s">
        <v>21</v>
      </c>
      <c r="Q352" s="1" t="s">
        <v>21</v>
      </c>
      <c r="R352" s="1" t="s">
        <v>21</v>
      </c>
      <c r="S352" s="4">
        <v>45255156</v>
      </c>
      <c r="T352" s="4">
        <v>22284691</v>
      </c>
      <c r="U352" s="4">
        <v>-3770941</v>
      </c>
      <c r="V352" s="4">
        <v>7717613</v>
      </c>
      <c r="W352" s="4">
        <v>30936833</v>
      </c>
      <c r="X352" s="4">
        <v>8851529</v>
      </c>
      <c r="Y352" s="4">
        <v>540931</v>
      </c>
      <c r="Z352" s="4">
        <v>12729986</v>
      </c>
    </row>
    <row r="353" spans="1:26" s="1" customFormat="1" ht="12.5" x14ac:dyDescent="0.25">
      <c r="A353" s="1" t="s">
        <v>94</v>
      </c>
      <c r="B353" s="4">
        <v>596679385</v>
      </c>
      <c r="C353" s="4">
        <v>492610012</v>
      </c>
      <c r="D353" s="4">
        <v>759974104</v>
      </c>
      <c r="E353" s="4">
        <v>698521474</v>
      </c>
      <c r="F353" s="4">
        <v>699306773</v>
      </c>
      <c r="G353" s="4">
        <v>585020128</v>
      </c>
      <c r="H353" s="4">
        <v>648973462</v>
      </c>
      <c r="I353" s="4">
        <v>628463457</v>
      </c>
      <c r="J353" s="4">
        <v>684747569</v>
      </c>
      <c r="K353" s="4">
        <v>724752585</v>
      </c>
      <c r="L353" s="4">
        <v>774966196</v>
      </c>
      <c r="M353" s="6">
        <f>Table2[[#This Row],[2025]]/SUM(Table2[2025])</f>
        <v>4.8791831545696125E-5</v>
      </c>
      <c r="N353" s="4"/>
      <c r="O353" s="1" t="s">
        <v>344</v>
      </c>
      <c r="P353" s="1" t="s">
        <v>21</v>
      </c>
      <c r="Q353" s="1" t="s">
        <v>21</v>
      </c>
      <c r="R353" s="1" t="s">
        <v>21</v>
      </c>
      <c r="S353" s="4">
        <v>286657787</v>
      </c>
      <c r="T353" s="4">
        <v>-4565106</v>
      </c>
      <c r="U353" s="4">
        <v>264400580</v>
      </c>
      <c r="V353" s="4">
        <v>-217495599</v>
      </c>
      <c r="W353" s="4">
        <v>-49423658</v>
      </c>
      <c r="X353" s="4">
        <v>2841232</v>
      </c>
      <c r="Y353" s="4">
        <v>-12196665</v>
      </c>
      <c r="Z353" s="4">
        <v>402136490</v>
      </c>
    </row>
    <row r="354" spans="1:26" s="1" customFormat="1" ht="12.5" x14ac:dyDescent="0.25">
      <c r="A354" s="1" t="s">
        <v>458</v>
      </c>
      <c r="B354" s="1" t="s">
        <v>21</v>
      </c>
      <c r="C354" s="1" t="s">
        <v>21</v>
      </c>
      <c r="D354" s="1" t="s">
        <v>21</v>
      </c>
      <c r="E354" s="1" t="s">
        <v>21</v>
      </c>
      <c r="F354" s="1" t="s">
        <v>21</v>
      </c>
      <c r="G354" s="1" t="s">
        <v>21</v>
      </c>
      <c r="H354" s="1" t="s">
        <v>21</v>
      </c>
      <c r="I354" s="1" t="s">
        <v>21</v>
      </c>
      <c r="J354" s="4">
        <v>339640496</v>
      </c>
      <c r="K354" s="4">
        <v>584067069</v>
      </c>
      <c r="L354" s="4">
        <v>774355155</v>
      </c>
      <c r="M354" s="6">
        <f>Table2[[#This Row],[2025]]/SUM(Table2[2025])</f>
        <v>4.8753360435996891E-5</v>
      </c>
      <c r="N354" s="4"/>
      <c r="O354" s="1" t="s">
        <v>345</v>
      </c>
      <c r="P354" s="1" t="s">
        <v>21</v>
      </c>
      <c r="Q354" s="1" t="s">
        <v>21</v>
      </c>
      <c r="R354" s="1" t="s">
        <v>21</v>
      </c>
      <c r="S354" s="4">
        <v>837959398</v>
      </c>
      <c r="T354" s="4">
        <v>523060477</v>
      </c>
      <c r="U354" s="4">
        <v>105392233</v>
      </c>
      <c r="V354" s="4">
        <v>175230185</v>
      </c>
      <c r="W354" s="4">
        <v>103482837</v>
      </c>
      <c r="X354" s="4">
        <v>5950651</v>
      </c>
      <c r="Y354" s="4">
        <v>93936456</v>
      </c>
      <c r="Z354" s="4">
        <v>100616935</v>
      </c>
    </row>
    <row r="355" spans="1:26" s="1" customFormat="1" ht="12.5" x14ac:dyDescent="0.25">
      <c r="A355" s="1" t="s">
        <v>126</v>
      </c>
      <c r="B355" s="4">
        <v>1180546020</v>
      </c>
      <c r="C355" s="4">
        <v>994507264</v>
      </c>
      <c r="D355" s="4">
        <v>892224124</v>
      </c>
      <c r="E355" s="1" t="s">
        <v>21</v>
      </c>
      <c r="F355" s="4">
        <v>853745085</v>
      </c>
      <c r="G355" s="4">
        <v>1258864712</v>
      </c>
      <c r="H355" s="4">
        <v>1391639190</v>
      </c>
      <c r="I355" s="4">
        <v>1067040051</v>
      </c>
      <c r="J355" s="4">
        <v>1017065530</v>
      </c>
      <c r="K355" s="4">
        <v>1073677751</v>
      </c>
      <c r="L355" s="4">
        <v>772333980</v>
      </c>
      <c r="M355" s="6">
        <f>Table2[[#This Row],[2025]]/SUM(Table2[2025])</f>
        <v>4.8626107362723006E-5</v>
      </c>
      <c r="N355" s="4"/>
      <c r="O355" s="1" t="s">
        <v>346</v>
      </c>
      <c r="P355" s="1" t="s">
        <v>21</v>
      </c>
      <c r="Q355" s="1" t="s">
        <v>21</v>
      </c>
      <c r="R355" s="1" t="s">
        <v>21</v>
      </c>
      <c r="S355" s="4">
        <v>26110435</v>
      </c>
      <c r="T355" s="4">
        <v>38123237</v>
      </c>
      <c r="U355" s="4">
        <v>255081</v>
      </c>
      <c r="V355" s="4">
        <v>-1352246</v>
      </c>
      <c r="W355" s="4">
        <v>-19681090</v>
      </c>
      <c r="X355" s="4">
        <v>-57039817</v>
      </c>
      <c r="Y355" s="4">
        <v>2467</v>
      </c>
      <c r="Z355" s="4">
        <v>296200</v>
      </c>
    </row>
    <row r="356" spans="1:26" s="1" customFormat="1" ht="12.5" x14ac:dyDescent="0.25">
      <c r="A356" s="1" t="s">
        <v>30</v>
      </c>
      <c r="B356" s="4">
        <v>45393371</v>
      </c>
      <c r="C356" s="4">
        <v>25254760</v>
      </c>
      <c r="D356" s="4">
        <v>27956567</v>
      </c>
      <c r="E356" s="4">
        <v>91265291</v>
      </c>
      <c r="F356" s="4">
        <v>160542035</v>
      </c>
      <c r="G356" s="4">
        <v>174871114</v>
      </c>
      <c r="H356" s="4">
        <v>281313385</v>
      </c>
      <c r="I356" s="4">
        <v>418743017</v>
      </c>
      <c r="J356" s="4">
        <v>440172844</v>
      </c>
      <c r="K356" s="4">
        <v>560151102</v>
      </c>
      <c r="L356" s="4">
        <v>772287518</v>
      </c>
      <c r="M356" s="6">
        <f>Table2[[#This Row],[2025]]/SUM(Table2[2025])</f>
        <v>4.8623182117610406E-5</v>
      </c>
      <c r="N356" s="4"/>
      <c r="O356" s="1" t="s">
        <v>347</v>
      </c>
      <c r="P356" s="1" t="s">
        <v>21</v>
      </c>
      <c r="Q356" s="1" t="s">
        <v>21</v>
      </c>
      <c r="R356" s="1" t="s">
        <v>21</v>
      </c>
      <c r="S356" s="4">
        <v>148198949</v>
      </c>
      <c r="T356" s="4">
        <v>-19502626</v>
      </c>
      <c r="U356" s="4">
        <v>1156238</v>
      </c>
      <c r="V356" s="4">
        <v>12701884</v>
      </c>
      <c r="W356" s="4">
        <v>54612427</v>
      </c>
      <c r="X356" s="4">
        <v>62403849</v>
      </c>
      <c r="Y356" s="4">
        <v>-3070841</v>
      </c>
      <c r="Z356" s="4">
        <v>16581110</v>
      </c>
    </row>
    <row r="357" spans="1:26" s="1" customFormat="1" ht="12.5" x14ac:dyDescent="0.25">
      <c r="A357" s="1" t="s">
        <v>37</v>
      </c>
      <c r="B357" s="4">
        <v>79543631</v>
      </c>
      <c r="C357" s="4">
        <v>79724380</v>
      </c>
      <c r="D357" s="4">
        <v>59654497</v>
      </c>
      <c r="E357" s="4">
        <v>149591046</v>
      </c>
      <c r="F357" s="4">
        <v>220492828</v>
      </c>
      <c r="G357" s="4">
        <v>279176595</v>
      </c>
      <c r="H357" s="4">
        <v>417964086</v>
      </c>
      <c r="I357" s="4">
        <v>482293313</v>
      </c>
      <c r="J357" s="4">
        <v>545225043</v>
      </c>
      <c r="K357" s="4">
        <v>606551998</v>
      </c>
      <c r="L357" s="4">
        <v>771755032</v>
      </c>
      <c r="M357" s="6">
        <f>Table2[[#This Row],[2025]]/SUM(Table2[2025])</f>
        <v>4.8589656826640886E-5</v>
      </c>
      <c r="N357" s="4"/>
      <c r="O357" s="1" t="s">
        <v>348</v>
      </c>
      <c r="P357" s="1" t="s">
        <v>21</v>
      </c>
      <c r="Q357" s="1" t="s">
        <v>21</v>
      </c>
      <c r="R357" s="1" t="s">
        <v>21</v>
      </c>
      <c r="S357" s="4">
        <v>20826801</v>
      </c>
      <c r="T357" s="4">
        <v>12701988</v>
      </c>
      <c r="U357" s="4">
        <v>605583</v>
      </c>
      <c r="V357" s="4">
        <v>10470464</v>
      </c>
      <c r="W357" s="4">
        <v>24923372</v>
      </c>
      <c r="X357" s="4">
        <v>12682408</v>
      </c>
      <c r="Y357" s="4">
        <v>1176284</v>
      </c>
      <c r="Z357" s="4">
        <v>6945216</v>
      </c>
    </row>
    <row r="358" spans="1:26" s="1" customFormat="1" ht="12.5" x14ac:dyDescent="0.25">
      <c r="A358" s="1" t="s">
        <v>383</v>
      </c>
      <c r="B358" s="1" t="s">
        <v>21</v>
      </c>
      <c r="C358" s="1" t="s">
        <v>21</v>
      </c>
      <c r="D358" s="1" t="s">
        <v>21</v>
      </c>
      <c r="E358" s="1" t="s">
        <v>21</v>
      </c>
      <c r="F358" s="4">
        <v>307013419</v>
      </c>
      <c r="G358" s="4">
        <v>426159180</v>
      </c>
      <c r="H358" s="4">
        <v>579573722</v>
      </c>
      <c r="I358" s="4">
        <v>559519320</v>
      </c>
      <c r="J358" s="4">
        <v>707839486</v>
      </c>
      <c r="K358" s="4">
        <v>844295371</v>
      </c>
      <c r="L358" s="4">
        <v>755510492</v>
      </c>
      <c r="M358" s="6">
        <f>Table2[[#This Row],[2025]]/SUM(Table2[2025])</f>
        <v>4.7566901429943139E-5</v>
      </c>
      <c r="N358" s="4"/>
      <c r="O358" s="1" t="s">
        <v>349</v>
      </c>
      <c r="P358" s="1" t="s">
        <v>21</v>
      </c>
      <c r="Q358" s="1" t="s">
        <v>21</v>
      </c>
      <c r="R358" s="1" t="s">
        <v>21</v>
      </c>
      <c r="S358" s="4">
        <v>227595205</v>
      </c>
      <c r="T358" s="4">
        <v>449643580</v>
      </c>
      <c r="U358" s="4">
        <v>-223446051</v>
      </c>
      <c r="V358" s="4">
        <v>-13780064</v>
      </c>
      <c r="W358" s="4">
        <v>-12516110</v>
      </c>
      <c r="X358" s="4">
        <v>-35160826</v>
      </c>
      <c r="Y358" s="4">
        <v>107535439</v>
      </c>
      <c r="Z358" s="4">
        <v>98470636</v>
      </c>
    </row>
    <row r="359" spans="1:26" s="1" customFormat="1" ht="12.5" x14ac:dyDescent="0.25">
      <c r="A359" s="1" t="s">
        <v>444</v>
      </c>
      <c r="B359" s="1" t="s">
        <v>21</v>
      </c>
      <c r="C359" s="1" t="s">
        <v>21</v>
      </c>
      <c r="D359" s="1" t="s">
        <v>21</v>
      </c>
      <c r="E359" s="1" t="s">
        <v>21</v>
      </c>
      <c r="F359" s="1" t="s">
        <v>21</v>
      </c>
      <c r="G359" s="1" t="s">
        <v>21</v>
      </c>
      <c r="H359" s="1" t="s">
        <v>21</v>
      </c>
      <c r="I359" s="4">
        <v>405092226</v>
      </c>
      <c r="J359" s="4">
        <v>540989596</v>
      </c>
      <c r="K359" s="4">
        <v>880238604</v>
      </c>
      <c r="L359" s="4">
        <v>727448135</v>
      </c>
      <c r="M359" s="6">
        <f>Table2[[#This Row],[2025]]/SUM(Table2[2025])</f>
        <v>4.5800096887259339E-5</v>
      </c>
      <c r="N359" s="4"/>
      <c r="O359" s="1" t="s">
        <v>350</v>
      </c>
      <c r="P359" s="1" t="s">
        <v>21</v>
      </c>
      <c r="Q359" s="1" t="s">
        <v>21</v>
      </c>
      <c r="R359" s="1" t="s">
        <v>21</v>
      </c>
      <c r="S359" s="4">
        <v>12858466</v>
      </c>
      <c r="T359" s="4">
        <v>41251221</v>
      </c>
      <c r="U359" s="4">
        <v>259667747</v>
      </c>
      <c r="V359" s="4">
        <v>147912813</v>
      </c>
      <c r="W359" s="4">
        <v>142886776</v>
      </c>
      <c r="X359" s="4">
        <v>151513240</v>
      </c>
      <c r="Y359" s="4">
        <v>97232730</v>
      </c>
      <c r="Z359" s="4">
        <v>-83255658</v>
      </c>
    </row>
    <row r="360" spans="1:26" s="1" customFormat="1" ht="12.5" x14ac:dyDescent="0.25">
      <c r="A360" s="1" t="s">
        <v>472</v>
      </c>
      <c r="B360" s="1" t="s">
        <v>21</v>
      </c>
      <c r="C360" s="1" t="s">
        <v>21</v>
      </c>
      <c r="D360" s="1" t="s">
        <v>21</v>
      </c>
      <c r="E360" s="1" t="s">
        <v>21</v>
      </c>
      <c r="F360" s="1" t="s">
        <v>21</v>
      </c>
      <c r="G360" s="1" t="s">
        <v>21</v>
      </c>
      <c r="H360" s="1" t="s">
        <v>21</v>
      </c>
      <c r="I360" s="1" t="s">
        <v>21</v>
      </c>
      <c r="J360" s="1" t="s">
        <v>21</v>
      </c>
      <c r="K360" s="4">
        <v>576286717</v>
      </c>
      <c r="L360" s="4">
        <v>711557938</v>
      </c>
      <c r="M360" s="6">
        <f>Table2[[#This Row],[2025]]/SUM(Table2[2025])</f>
        <v>4.4799650907481502E-5</v>
      </c>
      <c r="N360" s="4"/>
      <c r="O360" s="1" t="s">
        <v>351</v>
      </c>
      <c r="P360" s="1" t="s">
        <v>21</v>
      </c>
      <c r="Q360" s="1" t="s">
        <v>21</v>
      </c>
      <c r="R360" s="1" t="s">
        <v>21</v>
      </c>
      <c r="S360" s="4">
        <v>68756607</v>
      </c>
      <c r="T360" s="4">
        <v>134156656</v>
      </c>
      <c r="U360" s="4">
        <v>678041872</v>
      </c>
      <c r="V360" s="4">
        <v>937262987</v>
      </c>
      <c r="W360" s="4">
        <v>493076904</v>
      </c>
      <c r="X360" s="4">
        <v>-172775900</v>
      </c>
      <c r="Y360" s="4">
        <v>233676857</v>
      </c>
      <c r="Z360" s="4">
        <v>164850626</v>
      </c>
    </row>
    <row r="361" spans="1:26" s="1" customFormat="1" ht="12.5" x14ac:dyDescent="0.25">
      <c r="A361" s="1" t="s">
        <v>342</v>
      </c>
      <c r="B361" s="1" t="s">
        <v>21</v>
      </c>
      <c r="C361" s="1" t="s">
        <v>21</v>
      </c>
      <c r="D361" s="4">
        <v>14728299</v>
      </c>
      <c r="E361" s="4">
        <v>207547364</v>
      </c>
      <c r="F361" s="4">
        <v>335767311</v>
      </c>
      <c r="G361" s="4">
        <v>400374278</v>
      </c>
      <c r="H361" s="4">
        <v>535959085</v>
      </c>
      <c r="I361" s="4">
        <v>528456219</v>
      </c>
      <c r="J361" s="4">
        <v>551011247</v>
      </c>
      <c r="K361" s="4">
        <v>606707127</v>
      </c>
      <c r="L361" s="4">
        <v>705022820</v>
      </c>
      <c r="M361" s="6">
        <f>Table2[[#This Row],[2025]]/SUM(Table2[2025])</f>
        <v>4.4388200216815182E-5</v>
      </c>
      <c r="N361" s="4"/>
      <c r="O361" s="1" t="s">
        <v>352</v>
      </c>
      <c r="P361" s="1" t="s">
        <v>21</v>
      </c>
      <c r="Q361" s="1" t="s">
        <v>21</v>
      </c>
      <c r="R361" s="1" t="s">
        <v>21</v>
      </c>
      <c r="S361" s="4">
        <v>792316650</v>
      </c>
      <c r="T361" s="4">
        <v>17593855</v>
      </c>
      <c r="U361" s="4">
        <v>-715189385</v>
      </c>
      <c r="V361" s="4">
        <v>-211131134</v>
      </c>
      <c r="W361" s="4">
        <v>293235761</v>
      </c>
      <c r="X361" s="4">
        <v>202146408</v>
      </c>
      <c r="Y361" s="4">
        <v>324689161</v>
      </c>
      <c r="Z361" s="4">
        <v>541477777</v>
      </c>
    </row>
    <row r="362" spans="1:26" s="1" customFormat="1" ht="12.5" x14ac:dyDescent="0.25">
      <c r="A362" s="1" t="s">
        <v>289</v>
      </c>
      <c r="B362" s="1" t="s">
        <v>21</v>
      </c>
      <c r="C362" s="4">
        <v>550660103</v>
      </c>
      <c r="D362" s="4">
        <v>464410856</v>
      </c>
      <c r="E362" s="4">
        <v>346692184</v>
      </c>
      <c r="F362" s="4">
        <v>306935569</v>
      </c>
      <c r="G362" s="4">
        <v>325038725</v>
      </c>
      <c r="H362" s="4">
        <v>386229888</v>
      </c>
      <c r="I362" s="4">
        <v>152791209</v>
      </c>
      <c r="J362" s="4">
        <v>470434388</v>
      </c>
      <c r="K362" s="4">
        <v>564619761</v>
      </c>
      <c r="L362" s="4">
        <v>698413686</v>
      </c>
      <c r="M362" s="6">
        <f>Table2[[#This Row],[2025]]/SUM(Table2[2025])</f>
        <v>4.3972089482623973E-5</v>
      </c>
      <c r="N362" s="4"/>
      <c r="O362" s="1" t="s">
        <v>353</v>
      </c>
      <c r="P362" s="1" t="s">
        <v>21</v>
      </c>
      <c r="Q362" s="1" t="s">
        <v>21</v>
      </c>
      <c r="R362" s="1" t="s">
        <v>21</v>
      </c>
      <c r="S362" s="4">
        <v>473910665</v>
      </c>
      <c r="T362" s="4">
        <v>11487977</v>
      </c>
      <c r="U362" s="4">
        <v>-422597</v>
      </c>
      <c r="V362" s="4">
        <v>1149312</v>
      </c>
      <c r="W362" s="4">
        <v>447015253</v>
      </c>
      <c r="X362" s="4">
        <v>502969485</v>
      </c>
      <c r="Y362" s="4">
        <v>-215946568</v>
      </c>
      <c r="Z362" s="4">
        <v>1567614502</v>
      </c>
    </row>
    <row r="363" spans="1:26" s="1" customFormat="1" ht="12.5" x14ac:dyDescent="0.25">
      <c r="A363" s="1" t="s">
        <v>476</v>
      </c>
      <c r="B363" s="1" t="s">
        <v>21</v>
      </c>
      <c r="C363" s="1" t="s">
        <v>21</v>
      </c>
      <c r="D363" s="1" t="s">
        <v>21</v>
      </c>
      <c r="E363" s="1" t="s">
        <v>21</v>
      </c>
      <c r="F363" s="1" t="s">
        <v>21</v>
      </c>
      <c r="G363" s="1" t="s">
        <v>21</v>
      </c>
      <c r="H363" s="1" t="s">
        <v>21</v>
      </c>
      <c r="I363" s="1" t="s">
        <v>21</v>
      </c>
      <c r="J363" s="1" t="s">
        <v>21</v>
      </c>
      <c r="K363" s="4">
        <v>555478656</v>
      </c>
      <c r="L363" s="4">
        <v>693490796</v>
      </c>
      <c r="M363" s="6">
        <f>Table2[[#This Row],[2025]]/SUM(Table2[2025])</f>
        <v>4.3662144583300915E-5</v>
      </c>
      <c r="N363" s="4"/>
      <c r="O363" s="1" t="s">
        <v>354</v>
      </c>
      <c r="P363" s="1" t="s">
        <v>21</v>
      </c>
      <c r="Q363" s="1" t="s">
        <v>21</v>
      </c>
      <c r="R363" s="1" t="s">
        <v>21</v>
      </c>
      <c r="S363" s="4">
        <v>171331629</v>
      </c>
      <c r="T363" s="4">
        <v>131459471</v>
      </c>
      <c r="U363" s="4">
        <v>227450497</v>
      </c>
      <c r="V363" s="4">
        <v>199356375</v>
      </c>
      <c r="W363" s="4">
        <v>33583373</v>
      </c>
      <c r="X363" s="4">
        <v>141559468</v>
      </c>
      <c r="Y363" s="4">
        <v>-313751764</v>
      </c>
      <c r="Z363" s="4">
        <v>107187374</v>
      </c>
    </row>
    <row r="364" spans="1:26" s="1" customFormat="1" ht="12.5" x14ac:dyDescent="0.25">
      <c r="A364" s="1" t="s">
        <v>359</v>
      </c>
      <c r="B364" s="1" t="s">
        <v>21</v>
      </c>
      <c r="C364" s="1" t="s">
        <v>21</v>
      </c>
      <c r="D364" s="1" t="s">
        <v>21</v>
      </c>
      <c r="E364" s="4">
        <v>81086245</v>
      </c>
      <c r="F364" s="4">
        <v>265746084</v>
      </c>
      <c r="G364" s="4">
        <v>330429611</v>
      </c>
      <c r="H364" s="4">
        <v>336188266</v>
      </c>
      <c r="I364" s="4">
        <v>577415390</v>
      </c>
      <c r="J364" s="4">
        <v>609924494</v>
      </c>
      <c r="K364" s="4">
        <v>645869630</v>
      </c>
      <c r="L364" s="4">
        <v>687893471</v>
      </c>
      <c r="M364" s="6">
        <f>Table2[[#This Row],[2025]]/SUM(Table2[2025])</f>
        <v>4.3309737291323353E-5</v>
      </c>
      <c r="N364" s="4"/>
      <c r="O364" s="1" t="s">
        <v>355</v>
      </c>
      <c r="P364" s="1" t="s">
        <v>21</v>
      </c>
      <c r="Q364" s="1" t="s">
        <v>21</v>
      </c>
      <c r="R364" s="1" t="s">
        <v>21</v>
      </c>
      <c r="S364" s="4">
        <v>842173830</v>
      </c>
      <c r="T364" s="4">
        <v>38343574</v>
      </c>
      <c r="U364" s="4">
        <v>101327055</v>
      </c>
      <c r="V364" s="4">
        <v>28407168</v>
      </c>
      <c r="W364" s="4">
        <v>-9641215</v>
      </c>
      <c r="X364" s="4">
        <v>23108746</v>
      </c>
      <c r="Y364" s="4">
        <v>31331124</v>
      </c>
      <c r="Z364" s="4">
        <v>-6579078</v>
      </c>
    </row>
    <row r="365" spans="1:26" s="1" customFormat="1" ht="12.5" x14ac:dyDescent="0.25">
      <c r="A365" s="1" t="s">
        <v>198</v>
      </c>
      <c r="B365" s="4">
        <v>4836158315</v>
      </c>
      <c r="C365" s="4">
        <v>3740227038</v>
      </c>
      <c r="D365" s="4">
        <v>3561719348</v>
      </c>
      <c r="E365" s="4">
        <v>4023464097</v>
      </c>
      <c r="F365" s="4">
        <v>3922209747</v>
      </c>
      <c r="G365" s="4">
        <v>653006402</v>
      </c>
      <c r="H365" s="4">
        <v>967799220</v>
      </c>
      <c r="I365" s="4">
        <v>1096995349</v>
      </c>
      <c r="J365" s="4">
        <v>1512616216</v>
      </c>
      <c r="K365" s="4">
        <v>596884024</v>
      </c>
      <c r="L365" s="4">
        <v>683128604</v>
      </c>
      <c r="M365" s="7">
        <f>Table2[[#This Row],[2025]]/SUM(Table2[2025])</f>
        <v>4.3009741511892417E-5</v>
      </c>
      <c r="O365" s="1" t="s">
        <v>356</v>
      </c>
      <c r="P365" s="1" t="s">
        <v>21</v>
      </c>
      <c r="Q365" s="1" t="s">
        <v>21</v>
      </c>
      <c r="R365" s="1" t="s">
        <v>21</v>
      </c>
      <c r="S365" s="1" t="s">
        <v>21</v>
      </c>
      <c r="T365" s="1" t="s">
        <v>21</v>
      </c>
      <c r="U365" s="1" t="s">
        <v>21</v>
      </c>
      <c r="V365" s="1" t="s">
        <v>21</v>
      </c>
      <c r="W365" s="1" t="s">
        <v>21</v>
      </c>
      <c r="X365" s="1" t="s">
        <v>21</v>
      </c>
      <c r="Y365" s="1" t="s">
        <v>21</v>
      </c>
      <c r="Z365" s="1" t="s">
        <v>21</v>
      </c>
    </row>
    <row r="366" spans="1:26" s="1" customFormat="1" ht="12.5" x14ac:dyDescent="0.25">
      <c r="A366" s="1" t="s">
        <v>68</v>
      </c>
      <c r="B366" s="4">
        <v>316843550</v>
      </c>
      <c r="C366" s="4">
        <v>72721364</v>
      </c>
      <c r="D366" s="4">
        <v>210751073</v>
      </c>
      <c r="E366" s="4">
        <v>205798940</v>
      </c>
      <c r="F366" s="4">
        <v>209069359</v>
      </c>
      <c r="G366" s="4">
        <v>274387221</v>
      </c>
      <c r="H366" s="4">
        <v>398397491</v>
      </c>
      <c r="I366" s="4">
        <v>371241273</v>
      </c>
      <c r="J366" s="4">
        <v>495702468</v>
      </c>
      <c r="K366" s="4">
        <v>581350357</v>
      </c>
      <c r="L366" s="4">
        <v>675805819</v>
      </c>
      <c r="M366" s="6">
        <f>Table2[[#This Row],[2025]]/SUM(Table2[2025])</f>
        <v>4.2548699347718652E-5</v>
      </c>
      <c r="N366" s="4"/>
      <c r="O366" s="1" t="s">
        <v>357</v>
      </c>
      <c r="P366" s="1" t="s">
        <v>21</v>
      </c>
      <c r="Q366" s="1" t="s">
        <v>21</v>
      </c>
      <c r="R366" s="1" t="s">
        <v>21</v>
      </c>
      <c r="S366" s="1" t="s">
        <v>21</v>
      </c>
      <c r="T366" s="4">
        <v>100698874</v>
      </c>
      <c r="U366" s="4">
        <v>133264632</v>
      </c>
      <c r="V366" s="4">
        <v>51418490</v>
      </c>
      <c r="W366" s="4">
        <v>125495239</v>
      </c>
      <c r="X366" s="4">
        <v>266098856</v>
      </c>
      <c r="Y366" s="4">
        <v>19569169</v>
      </c>
      <c r="Z366" s="4">
        <v>136582824</v>
      </c>
    </row>
    <row r="367" spans="1:26" s="1" customFormat="1" ht="12.5" x14ac:dyDescent="0.25">
      <c r="A367" s="1" t="s">
        <v>389</v>
      </c>
      <c r="B367" s="1" t="s">
        <v>21</v>
      </c>
      <c r="C367" s="1" t="s">
        <v>21</v>
      </c>
      <c r="D367" s="1" t="s">
        <v>21</v>
      </c>
      <c r="E367" s="1" t="s">
        <v>21</v>
      </c>
      <c r="F367" s="1" t="s">
        <v>21</v>
      </c>
      <c r="G367" s="4">
        <v>262381157</v>
      </c>
      <c r="H367" s="4">
        <v>290544627</v>
      </c>
      <c r="I367" s="4">
        <v>335958286</v>
      </c>
      <c r="J367" s="4">
        <v>360837359</v>
      </c>
      <c r="K367" s="4">
        <v>498575052</v>
      </c>
      <c r="L367" s="4">
        <v>672462402</v>
      </c>
      <c r="M367" s="7">
        <f>Table2[[#This Row],[2025]]/SUM(Table2[2025])</f>
        <v>4.2338197986636038E-5</v>
      </c>
      <c r="O367" s="1" t="s">
        <v>358</v>
      </c>
      <c r="P367" s="1" t="s">
        <v>21</v>
      </c>
      <c r="Q367" s="1" t="s">
        <v>21</v>
      </c>
      <c r="R367" s="1" t="s">
        <v>21</v>
      </c>
      <c r="S367" s="4">
        <v>230310</v>
      </c>
      <c r="T367" s="4">
        <v>-27825908</v>
      </c>
      <c r="U367" s="4">
        <v>9</v>
      </c>
      <c r="V367" s="4">
        <v>7764</v>
      </c>
      <c r="W367" s="4">
        <v>860363</v>
      </c>
      <c r="X367" s="4">
        <v>4385799</v>
      </c>
      <c r="Y367" s="1" t="s">
        <v>21</v>
      </c>
      <c r="Z367" s="4">
        <v>-812694</v>
      </c>
    </row>
    <row r="368" spans="1:26" s="1" customFormat="1" ht="12.5" x14ac:dyDescent="0.25">
      <c r="A368" s="1" t="s">
        <v>36</v>
      </c>
      <c r="B368" s="4">
        <v>70320621</v>
      </c>
      <c r="C368" s="4">
        <v>139679866</v>
      </c>
      <c r="D368" s="4">
        <v>186501693</v>
      </c>
      <c r="E368" s="4">
        <v>212473176</v>
      </c>
      <c r="F368" s="4">
        <v>364541942</v>
      </c>
      <c r="G368" s="4">
        <v>538112053</v>
      </c>
      <c r="H368" s="4">
        <v>638961668</v>
      </c>
      <c r="I368" s="4">
        <v>316997752</v>
      </c>
      <c r="J368" s="4">
        <v>455477410</v>
      </c>
      <c r="K368" s="4">
        <v>538397830</v>
      </c>
      <c r="L368" s="4">
        <v>663424160</v>
      </c>
      <c r="M368" s="6">
        <f>Table2[[#This Row],[2025]]/SUM(Table2[2025])</f>
        <v>4.176915073862777E-5</v>
      </c>
      <c r="N368" s="4"/>
      <c r="O368" s="1" t="s">
        <v>359</v>
      </c>
      <c r="P368" s="1" t="s">
        <v>21</v>
      </c>
      <c r="Q368" s="1" t="s">
        <v>21</v>
      </c>
      <c r="R368" s="1" t="s">
        <v>21</v>
      </c>
      <c r="S368" s="4">
        <v>79585189</v>
      </c>
      <c r="T368" s="4">
        <v>179091810</v>
      </c>
      <c r="U368" s="4">
        <v>71062796</v>
      </c>
      <c r="V368" s="4">
        <v>1260528</v>
      </c>
      <c r="W368" s="4">
        <v>237855622</v>
      </c>
      <c r="X368" s="4">
        <v>22377297</v>
      </c>
      <c r="Y368" s="4">
        <v>22687864</v>
      </c>
      <c r="Z368" s="4">
        <v>6995428</v>
      </c>
    </row>
    <row r="369" spans="1:26" s="1" customFormat="1" ht="12.5" x14ac:dyDescent="0.25">
      <c r="A369" s="1" t="s">
        <v>72</v>
      </c>
      <c r="B369" s="4">
        <v>366021946</v>
      </c>
      <c r="C369" s="4">
        <v>258782517</v>
      </c>
      <c r="D369" s="4">
        <v>284871038</v>
      </c>
      <c r="E369" s="4">
        <v>292991513</v>
      </c>
      <c r="F369" s="4">
        <v>193651150</v>
      </c>
      <c r="G369" s="4">
        <v>199944856</v>
      </c>
      <c r="H369" s="4">
        <v>210785540</v>
      </c>
      <c r="I369" s="4">
        <v>389307036</v>
      </c>
      <c r="J369" s="4">
        <v>399100850</v>
      </c>
      <c r="K369" s="4">
        <v>576424550</v>
      </c>
      <c r="L369" s="4">
        <v>656902975</v>
      </c>
      <c r="M369" s="6">
        <f>Table2[[#This Row],[2025]]/SUM(Table2[2025])</f>
        <v>4.1358577268919521E-5</v>
      </c>
      <c r="N369" s="4"/>
      <c r="O369" s="1" t="s">
        <v>360</v>
      </c>
      <c r="P369" s="1" t="s">
        <v>21</v>
      </c>
      <c r="Q369" s="1" t="s">
        <v>21</v>
      </c>
      <c r="R369" s="1" t="s">
        <v>21</v>
      </c>
      <c r="S369" s="1" t="s">
        <v>21</v>
      </c>
      <c r="T369" s="4">
        <v>65802356</v>
      </c>
      <c r="U369" s="4">
        <v>338212576</v>
      </c>
      <c r="V369" s="4">
        <v>434343264</v>
      </c>
      <c r="W369" s="4">
        <v>-144951400</v>
      </c>
      <c r="X369" s="4">
        <v>-178832277</v>
      </c>
      <c r="Y369" s="4">
        <v>-110594929</v>
      </c>
      <c r="Z369" s="4">
        <v>-149128105</v>
      </c>
    </row>
    <row r="370" spans="1:26" s="1" customFormat="1" ht="12.5" x14ac:dyDescent="0.25">
      <c r="A370" s="1" t="s">
        <v>131</v>
      </c>
      <c r="B370" s="4">
        <v>1269016756</v>
      </c>
      <c r="C370" s="4">
        <v>1102677608</v>
      </c>
      <c r="D370" s="4">
        <v>1062673870</v>
      </c>
      <c r="E370" s="4">
        <v>845330828</v>
      </c>
      <c r="F370" s="4">
        <v>704100785</v>
      </c>
      <c r="G370" s="4">
        <v>673424721</v>
      </c>
      <c r="H370" s="4">
        <v>752375578</v>
      </c>
      <c r="I370" s="4">
        <v>699690472</v>
      </c>
      <c r="J370" s="4">
        <v>976750736</v>
      </c>
      <c r="K370" s="4">
        <v>666617376</v>
      </c>
      <c r="L370" s="4">
        <v>652351024</v>
      </c>
      <c r="M370" s="6">
        <f>Table2[[#This Row],[2025]]/SUM(Table2[2025])</f>
        <v>4.1071986669816454E-5</v>
      </c>
      <c r="N370" s="4"/>
      <c r="O370" s="1" t="s">
        <v>361</v>
      </c>
      <c r="P370" s="1" t="s">
        <v>21</v>
      </c>
      <c r="Q370" s="1" t="s">
        <v>21</v>
      </c>
      <c r="R370" s="1" t="s">
        <v>21</v>
      </c>
      <c r="S370" s="1" t="s">
        <v>21</v>
      </c>
      <c r="T370" s="4">
        <v>985473</v>
      </c>
      <c r="U370" s="4">
        <v>657045</v>
      </c>
      <c r="V370" s="4">
        <v>1199145</v>
      </c>
      <c r="W370" s="4">
        <v>78084874</v>
      </c>
      <c r="X370" s="4">
        <v>-89882340</v>
      </c>
      <c r="Y370" s="4">
        <v>319327</v>
      </c>
      <c r="Z370" s="4">
        <v>477639</v>
      </c>
    </row>
    <row r="371" spans="1:26" s="1" customFormat="1" ht="12.5" x14ac:dyDescent="0.25">
      <c r="A371" s="1" t="s">
        <v>332</v>
      </c>
      <c r="B371" s="1" t="s">
        <v>21</v>
      </c>
      <c r="C371" s="1" t="s">
        <v>21</v>
      </c>
      <c r="D371" s="4">
        <v>175443686</v>
      </c>
      <c r="E371" s="4">
        <v>198143427</v>
      </c>
      <c r="F371" s="4">
        <v>234400191</v>
      </c>
      <c r="G371" s="4">
        <v>216341242</v>
      </c>
      <c r="H371" s="4">
        <v>287789757</v>
      </c>
      <c r="I371" s="4">
        <v>289100863</v>
      </c>
      <c r="J371" s="4">
        <v>451785457</v>
      </c>
      <c r="K371" s="4">
        <v>549635621</v>
      </c>
      <c r="L371" s="4">
        <v>639079044</v>
      </c>
      <c r="M371" s="6">
        <f>Table2[[#This Row],[2025]]/SUM(Table2[2025])</f>
        <v>4.0236383496697085E-5</v>
      </c>
      <c r="N371" s="4"/>
      <c r="O371" s="1" t="s">
        <v>362</v>
      </c>
      <c r="P371" s="1" t="s">
        <v>21</v>
      </c>
      <c r="Q371" s="1" t="s">
        <v>21</v>
      </c>
      <c r="R371" s="1" t="s">
        <v>21</v>
      </c>
      <c r="S371" s="1" t="s">
        <v>21</v>
      </c>
      <c r="T371" s="4">
        <v>1989856</v>
      </c>
      <c r="U371" s="4">
        <v>44736628</v>
      </c>
      <c r="V371" s="4">
        <v>11716364</v>
      </c>
      <c r="W371" s="4">
        <v>-45161479</v>
      </c>
      <c r="X371" s="4">
        <v>-29218</v>
      </c>
      <c r="Y371" s="4">
        <v>-12482351</v>
      </c>
      <c r="Z371" s="4">
        <v>95918206</v>
      </c>
    </row>
    <row r="372" spans="1:26" s="1" customFormat="1" ht="12.5" x14ac:dyDescent="0.25">
      <c r="A372" s="1" t="s">
        <v>42</v>
      </c>
      <c r="B372" s="4">
        <v>98758735</v>
      </c>
      <c r="C372" s="4">
        <v>77102194</v>
      </c>
      <c r="D372" s="4">
        <v>131051586</v>
      </c>
      <c r="E372" s="4">
        <v>104726443</v>
      </c>
      <c r="F372" s="4">
        <v>72399247</v>
      </c>
      <c r="G372" s="4">
        <v>55002695</v>
      </c>
      <c r="H372" s="4">
        <v>184390053</v>
      </c>
      <c r="I372" s="4">
        <v>283048605</v>
      </c>
      <c r="J372" s="4">
        <v>409628481</v>
      </c>
      <c r="K372" s="4">
        <v>500847581</v>
      </c>
      <c r="L372" s="4">
        <v>631242506</v>
      </c>
      <c r="M372" s="6">
        <f>Table2[[#This Row],[2025]]/SUM(Table2[2025])</f>
        <v>3.974299547026316E-5</v>
      </c>
      <c r="N372" s="4"/>
      <c r="O372" s="1" t="s">
        <v>363</v>
      </c>
      <c r="P372" s="1" t="s">
        <v>21</v>
      </c>
      <c r="Q372" s="1" t="s">
        <v>21</v>
      </c>
      <c r="R372" s="1" t="s">
        <v>21</v>
      </c>
      <c r="S372" s="1" t="s">
        <v>21</v>
      </c>
      <c r="T372" s="4">
        <v>380340099</v>
      </c>
      <c r="U372" s="4">
        <v>31775330</v>
      </c>
      <c r="V372" s="4">
        <v>460845353</v>
      </c>
      <c r="W372" s="4">
        <v>215123288</v>
      </c>
      <c r="X372" s="4">
        <v>1834986304</v>
      </c>
      <c r="Y372" s="4">
        <v>204423926</v>
      </c>
      <c r="Z372" s="4">
        <v>311073714</v>
      </c>
    </row>
    <row r="373" spans="1:26" s="1" customFormat="1" ht="12.5" x14ac:dyDescent="0.25">
      <c r="A373" s="1" t="s">
        <v>316</v>
      </c>
      <c r="B373" s="1" t="s">
        <v>21</v>
      </c>
      <c r="C373" s="4">
        <v>112981262</v>
      </c>
      <c r="D373" s="4">
        <v>196609743</v>
      </c>
      <c r="E373" s="4">
        <v>213111659</v>
      </c>
      <c r="F373" s="4">
        <v>224241187</v>
      </c>
      <c r="G373" s="4">
        <v>247690871</v>
      </c>
      <c r="H373" s="4">
        <v>328517932</v>
      </c>
      <c r="I373" s="4">
        <v>342016658</v>
      </c>
      <c r="J373" s="4">
        <v>417810203</v>
      </c>
      <c r="K373" s="4">
        <v>515339271</v>
      </c>
      <c r="L373" s="4">
        <v>629087640</v>
      </c>
      <c r="M373" s="6">
        <f>Table2[[#This Row],[2025]]/SUM(Table2[2025])</f>
        <v>3.9607325218556406E-5</v>
      </c>
      <c r="N373" s="4"/>
      <c r="O373" s="1" t="s">
        <v>364</v>
      </c>
      <c r="P373" s="1" t="s">
        <v>21</v>
      </c>
      <c r="Q373" s="1" t="s">
        <v>21</v>
      </c>
      <c r="R373" s="1" t="s">
        <v>21</v>
      </c>
      <c r="S373" s="1" t="s">
        <v>21</v>
      </c>
      <c r="T373" s="4">
        <v>1022512</v>
      </c>
      <c r="U373" s="4">
        <v>87192346</v>
      </c>
      <c r="V373" s="4">
        <v>-9401770</v>
      </c>
      <c r="W373" s="4">
        <v>-32471251</v>
      </c>
      <c r="X373" s="4">
        <v>-45229899</v>
      </c>
      <c r="Y373" s="4">
        <v>161271967</v>
      </c>
      <c r="Z373" s="4">
        <v>1590230</v>
      </c>
    </row>
    <row r="374" spans="1:26" s="1" customFormat="1" ht="12.5" x14ac:dyDescent="0.25">
      <c r="A374" s="1" t="s">
        <v>77</v>
      </c>
      <c r="B374" s="4">
        <v>412790700</v>
      </c>
      <c r="C374" s="4">
        <v>378311851</v>
      </c>
      <c r="D374" s="4">
        <v>582363988</v>
      </c>
      <c r="E374" s="4">
        <v>677570931</v>
      </c>
      <c r="F374" s="4">
        <v>677722239</v>
      </c>
      <c r="G374" s="4">
        <v>599587427</v>
      </c>
      <c r="H374" s="4">
        <v>570273436</v>
      </c>
      <c r="I374" s="4">
        <v>496851367</v>
      </c>
      <c r="J374" s="4">
        <v>400798855</v>
      </c>
      <c r="K374" s="4">
        <v>620108399</v>
      </c>
      <c r="L374" s="4">
        <v>627867551</v>
      </c>
      <c r="M374" s="6">
        <f>Table2[[#This Row],[2025]]/SUM(Table2[2025])</f>
        <v>3.953050847833467E-5</v>
      </c>
      <c r="N374" s="4"/>
      <c r="O374" s="1" t="s">
        <v>365</v>
      </c>
      <c r="P374" s="1" t="s">
        <v>21</v>
      </c>
      <c r="Q374" s="1" t="s">
        <v>21</v>
      </c>
      <c r="R374" s="1" t="s">
        <v>21</v>
      </c>
      <c r="S374" s="1" t="s">
        <v>21</v>
      </c>
      <c r="T374" s="4">
        <v>461109326</v>
      </c>
      <c r="U374" s="4">
        <v>141026747</v>
      </c>
      <c r="V374" s="4">
        <v>222382074</v>
      </c>
      <c r="W374" s="4">
        <v>117035470</v>
      </c>
      <c r="X374" s="4">
        <v>250158496</v>
      </c>
      <c r="Y374" s="4">
        <v>124437602</v>
      </c>
      <c r="Z374" s="4">
        <v>41577515</v>
      </c>
    </row>
    <row r="375" spans="1:26" s="1" customFormat="1" ht="12.5" x14ac:dyDescent="0.25">
      <c r="A375" s="1" t="s">
        <v>51</v>
      </c>
      <c r="B375" s="4">
        <v>200936305</v>
      </c>
      <c r="C375" s="4">
        <v>220287251</v>
      </c>
      <c r="D375" s="4">
        <v>238675791</v>
      </c>
      <c r="E375" s="4">
        <v>246826727</v>
      </c>
      <c r="F375" s="4">
        <v>328961187</v>
      </c>
      <c r="G375" s="4">
        <v>340448962</v>
      </c>
      <c r="H375" s="4">
        <v>425894607</v>
      </c>
      <c r="I375" s="4">
        <v>456720613</v>
      </c>
      <c r="J375" s="4">
        <v>491490861</v>
      </c>
      <c r="K375" s="4">
        <v>553796920</v>
      </c>
      <c r="L375" s="4">
        <v>622529134</v>
      </c>
      <c r="M375" s="6">
        <f>Table2[[#This Row],[2025]]/SUM(Table2[2025])</f>
        <v>3.9194402020621929E-5</v>
      </c>
      <c r="N375" s="4"/>
      <c r="O375" s="1" t="s">
        <v>366</v>
      </c>
      <c r="P375" s="1" t="s">
        <v>21</v>
      </c>
      <c r="Q375" s="1" t="s">
        <v>21</v>
      </c>
      <c r="R375" s="1" t="s">
        <v>21</v>
      </c>
      <c r="S375" s="1" t="s">
        <v>21</v>
      </c>
      <c r="T375" s="4">
        <v>66710516</v>
      </c>
      <c r="U375" s="4">
        <v>10595091</v>
      </c>
      <c r="V375" s="4">
        <v>42554350</v>
      </c>
      <c r="W375" s="4">
        <v>49443124</v>
      </c>
      <c r="X375" s="4">
        <v>124758695</v>
      </c>
      <c r="Y375" s="4">
        <v>5731087</v>
      </c>
      <c r="Z375" s="4">
        <v>-57655373</v>
      </c>
    </row>
    <row r="376" spans="1:26" s="1" customFormat="1" ht="12.5" x14ac:dyDescent="0.25">
      <c r="A376" s="1" t="s">
        <v>467</v>
      </c>
      <c r="B376" s="1" t="s">
        <v>21</v>
      </c>
      <c r="C376" s="1" t="s">
        <v>21</v>
      </c>
      <c r="D376" s="1" t="s">
        <v>21</v>
      </c>
      <c r="E376" s="1" t="s">
        <v>21</v>
      </c>
      <c r="F376" s="1" t="s">
        <v>21</v>
      </c>
      <c r="G376" s="1" t="s">
        <v>21</v>
      </c>
      <c r="H376" s="1" t="s">
        <v>21</v>
      </c>
      <c r="I376" s="1" t="s">
        <v>21</v>
      </c>
      <c r="J376" s="1" t="s">
        <v>21</v>
      </c>
      <c r="K376" s="4">
        <v>331456298</v>
      </c>
      <c r="L376" s="4">
        <v>612152783</v>
      </c>
      <c r="M376" s="6">
        <f>Table2[[#This Row],[2025]]/SUM(Table2[2025])</f>
        <v>3.8541107499307073E-5</v>
      </c>
      <c r="N376" s="4"/>
      <c r="O376" s="1" t="s">
        <v>367</v>
      </c>
      <c r="P376" s="1" t="s">
        <v>21</v>
      </c>
      <c r="Q376" s="1" t="s">
        <v>21</v>
      </c>
      <c r="R376" s="1" t="s">
        <v>21</v>
      </c>
      <c r="S376" s="1" t="s">
        <v>21</v>
      </c>
      <c r="T376" s="4">
        <v>1664109</v>
      </c>
      <c r="U376" s="4">
        <v>111459265</v>
      </c>
      <c r="V376" s="4">
        <v>-68441378</v>
      </c>
      <c r="W376" s="4">
        <v>-12787095</v>
      </c>
      <c r="X376" s="4">
        <v>-17811109</v>
      </c>
      <c r="Y376" s="4">
        <v>800876</v>
      </c>
      <c r="Z376" s="4">
        <v>793783</v>
      </c>
    </row>
    <row r="377" spans="1:26" s="1" customFormat="1" ht="12.5" x14ac:dyDescent="0.25">
      <c r="A377" s="1" t="s">
        <v>415</v>
      </c>
      <c r="B377" s="1" t="s">
        <v>21</v>
      </c>
      <c r="C377" s="1" t="s">
        <v>21</v>
      </c>
      <c r="D377" s="1" t="s">
        <v>21</v>
      </c>
      <c r="E377" s="1" t="s">
        <v>21</v>
      </c>
      <c r="F377" s="1" t="s">
        <v>21</v>
      </c>
      <c r="G377" s="1" t="s">
        <v>21</v>
      </c>
      <c r="H377" s="4">
        <v>214895667</v>
      </c>
      <c r="I377" s="4">
        <v>201743816</v>
      </c>
      <c r="J377" s="4">
        <v>257164452</v>
      </c>
      <c r="K377" s="4">
        <v>503576578</v>
      </c>
      <c r="L377" s="4">
        <v>586453000</v>
      </c>
      <c r="M377" s="6">
        <f>Table2[[#This Row],[2025]]/SUM(Table2[2025])</f>
        <v>3.6923050493247745E-5</v>
      </c>
      <c r="N377" s="4"/>
      <c r="O377" s="1" t="s">
        <v>368</v>
      </c>
      <c r="P377" s="1" t="s">
        <v>21</v>
      </c>
      <c r="Q377" s="1" t="s">
        <v>21</v>
      </c>
      <c r="R377" s="1" t="s">
        <v>21</v>
      </c>
      <c r="S377" s="1" t="s">
        <v>21</v>
      </c>
      <c r="T377" s="4">
        <v>509529455</v>
      </c>
      <c r="U377" s="4">
        <v>204619780</v>
      </c>
      <c r="V377" s="4">
        <v>10487539</v>
      </c>
      <c r="W377" s="4">
        <v>484280430</v>
      </c>
      <c r="X377" s="4">
        <v>-158009155</v>
      </c>
      <c r="Y377" s="4">
        <v>-603101313</v>
      </c>
      <c r="Z377" s="4">
        <v>-76398246</v>
      </c>
    </row>
    <row r="378" spans="1:26" s="1" customFormat="1" ht="12.5" x14ac:dyDescent="0.25">
      <c r="A378" s="1" t="s">
        <v>473</v>
      </c>
      <c r="B378" s="1" t="s">
        <v>21</v>
      </c>
      <c r="C378" s="1" t="s">
        <v>21</v>
      </c>
      <c r="D378" s="1" t="s">
        <v>21</v>
      </c>
      <c r="E378" s="1" t="s">
        <v>21</v>
      </c>
      <c r="F378" s="1" t="s">
        <v>21</v>
      </c>
      <c r="G378" s="1" t="s">
        <v>21</v>
      </c>
      <c r="H378" s="1" t="s">
        <v>21</v>
      </c>
      <c r="I378" s="1" t="s">
        <v>21</v>
      </c>
      <c r="J378" s="1" t="s">
        <v>21</v>
      </c>
      <c r="K378" s="4">
        <v>411166372</v>
      </c>
      <c r="L378" s="4">
        <v>586214200</v>
      </c>
      <c r="M378" s="6">
        <f>Table2[[#This Row],[2025]]/SUM(Table2[2025])</f>
        <v>3.690801565762104E-5</v>
      </c>
      <c r="N378" s="4"/>
      <c r="O378" s="1" t="s">
        <v>369</v>
      </c>
      <c r="P378" s="1" t="s">
        <v>21</v>
      </c>
      <c r="Q378" s="1" t="s">
        <v>21</v>
      </c>
      <c r="R378" s="1" t="s">
        <v>21</v>
      </c>
      <c r="S378" s="1" t="s">
        <v>21</v>
      </c>
      <c r="T378" s="4">
        <v>-5199006</v>
      </c>
      <c r="U378" s="4">
        <v>-13452130</v>
      </c>
      <c r="V378" s="4">
        <v>86047697</v>
      </c>
      <c r="W378" s="4">
        <v>-99366987</v>
      </c>
      <c r="X378" s="4">
        <v>-895771136</v>
      </c>
      <c r="Y378" s="4">
        <v>1864702120</v>
      </c>
      <c r="Z378" s="4">
        <v>-1161083813</v>
      </c>
    </row>
    <row r="379" spans="1:26" s="1" customFormat="1" ht="12.5" x14ac:dyDescent="0.25">
      <c r="A379" s="1" t="s">
        <v>89</v>
      </c>
      <c r="B379" s="4">
        <v>538508317</v>
      </c>
      <c r="C379" s="4">
        <v>582791664</v>
      </c>
      <c r="D379" s="4">
        <v>508374195</v>
      </c>
      <c r="E379" s="4">
        <v>380000729</v>
      </c>
      <c r="F379" s="4">
        <v>423997018</v>
      </c>
      <c r="G379" s="4">
        <v>356571243</v>
      </c>
      <c r="H379" s="4">
        <v>465159135</v>
      </c>
      <c r="I379" s="4">
        <v>423788957</v>
      </c>
      <c r="J379" s="4">
        <v>332874052</v>
      </c>
      <c r="K379" s="4">
        <v>368842893</v>
      </c>
      <c r="L379" s="4">
        <v>579239496</v>
      </c>
      <c r="M379" s="6">
        <f>Table2[[#This Row],[2025]]/SUM(Table2[2025])</f>
        <v>3.6468888655171643E-5</v>
      </c>
      <c r="N379" s="4"/>
      <c r="O379" s="1" t="s">
        <v>370</v>
      </c>
      <c r="P379" s="1" t="s">
        <v>21</v>
      </c>
      <c r="Q379" s="1" t="s">
        <v>21</v>
      </c>
      <c r="R379" s="1" t="s">
        <v>21</v>
      </c>
      <c r="S379" s="1" t="s">
        <v>21</v>
      </c>
      <c r="T379" s="1" t="s">
        <v>21</v>
      </c>
      <c r="U379" s="4">
        <v>10085063</v>
      </c>
      <c r="V379" s="4">
        <v>24537052</v>
      </c>
      <c r="W379" s="4">
        <v>112381242</v>
      </c>
      <c r="X379" s="4">
        <v>131258294</v>
      </c>
      <c r="Y379" s="4">
        <v>-65140189</v>
      </c>
      <c r="Z379" s="4">
        <v>1987749510</v>
      </c>
    </row>
    <row r="380" spans="1:26" s="1" customFormat="1" ht="12.5" x14ac:dyDescent="0.25">
      <c r="A380" s="1" t="s">
        <v>75</v>
      </c>
      <c r="B380" s="4">
        <v>402122416</v>
      </c>
      <c r="C380" s="4">
        <v>497927249</v>
      </c>
      <c r="D380" s="4">
        <v>1103930307</v>
      </c>
      <c r="E380" s="4">
        <v>1177360066</v>
      </c>
      <c r="F380" s="4">
        <v>435900625</v>
      </c>
      <c r="G380" s="4">
        <v>447292968</v>
      </c>
      <c r="H380" s="4">
        <v>494402984</v>
      </c>
      <c r="I380" s="4">
        <v>437458870</v>
      </c>
      <c r="J380" s="4">
        <v>410272217</v>
      </c>
      <c r="K380" s="4">
        <v>404969125</v>
      </c>
      <c r="L380" s="4">
        <v>569863218</v>
      </c>
      <c r="M380" s="7">
        <f>Table2[[#This Row],[2025]]/SUM(Table2[2025])</f>
        <v>3.5878558678118529E-5</v>
      </c>
      <c r="O380" s="1" t="s">
        <v>371</v>
      </c>
      <c r="P380" s="1" t="s">
        <v>21</v>
      </c>
      <c r="Q380" s="1" t="s">
        <v>21</v>
      </c>
      <c r="R380" s="1" t="s">
        <v>21</v>
      </c>
      <c r="S380" s="1" t="s">
        <v>21</v>
      </c>
      <c r="T380" s="4">
        <v>93814989</v>
      </c>
      <c r="U380" s="4">
        <v>-456873</v>
      </c>
      <c r="V380" s="4">
        <v>-5639019</v>
      </c>
      <c r="W380" s="4">
        <v>-9674570</v>
      </c>
      <c r="X380" s="4">
        <v>6937733</v>
      </c>
      <c r="Y380" s="4">
        <v>843444</v>
      </c>
      <c r="Z380" s="1" t="s">
        <v>21</v>
      </c>
    </row>
    <row r="381" spans="1:26" s="1" customFormat="1" ht="12.5" x14ac:dyDescent="0.25">
      <c r="A381" s="1" t="s">
        <v>25</v>
      </c>
      <c r="B381" s="4">
        <v>35851604</v>
      </c>
      <c r="C381" s="4">
        <v>87114151</v>
      </c>
      <c r="D381" s="4">
        <v>148969833</v>
      </c>
      <c r="E381" s="4">
        <v>144143028</v>
      </c>
      <c r="F381" s="4">
        <v>137467167</v>
      </c>
      <c r="G381" s="4">
        <v>90102422</v>
      </c>
      <c r="H381" s="4">
        <v>146046290</v>
      </c>
      <c r="I381" s="4">
        <v>144700032</v>
      </c>
      <c r="J381" s="4">
        <v>299956832</v>
      </c>
      <c r="K381" s="4">
        <v>507200951</v>
      </c>
      <c r="L381" s="4">
        <v>561199231</v>
      </c>
      <c r="M381" s="6">
        <f>Table2[[#This Row],[2025]]/SUM(Table2[2025])</f>
        <v>3.5333074505518436E-5</v>
      </c>
      <c r="N381" s="4"/>
      <c r="O381" s="1" t="s">
        <v>372</v>
      </c>
      <c r="P381" s="1" t="s">
        <v>21</v>
      </c>
      <c r="Q381" s="1" t="s">
        <v>21</v>
      </c>
      <c r="R381" s="1" t="s">
        <v>21</v>
      </c>
      <c r="S381" s="1" t="s">
        <v>21</v>
      </c>
      <c r="T381" s="4">
        <v>139449586</v>
      </c>
      <c r="U381" s="4">
        <v>141699731</v>
      </c>
      <c r="V381" s="4">
        <v>379404937</v>
      </c>
      <c r="W381" s="4">
        <v>480704883</v>
      </c>
      <c r="X381" s="4">
        <v>157402840</v>
      </c>
      <c r="Y381" s="4">
        <v>77005701</v>
      </c>
      <c r="Z381" s="4">
        <v>10748779</v>
      </c>
    </row>
    <row r="382" spans="1:26" s="1" customFormat="1" ht="12.5" x14ac:dyDescent="0.25">
      <c r="A382" s="1" t="s">
        <v>494</v>
      </c>
      <c r="B382" s="1" t="s">
        <v>21</v>
      </c>
      <c r="C382" s="1" t="s">
        <v>21</v>
      </c>
      <c r="D382" s="1" t="s">
        <v>21</v>
      </c>
      <c r="E382" s="1" t="s">
        <v>21</v>
      </c>
      <c r="F382" s="1" t="s">
        <v>21</v>
      </c>
      <c r="G382" s="1" t="s">
        <v>21</v>
      </c>
      <c r="H382" s="1" t="s">
        <v>21</v>
      </c>
      <c r="I382" s="1" t="s">
        <v>21</v>
      </c>
      <c r="J382" s="1" t="s">
        <v>21</v>
      </c>
      <c r="K382" s="1" t="s">
        <v>21</v>
      </c>
      <c r="L382" s="4">
        <v>542637116</v>
      </c>
      <c r="M382" s="6">
        <f>Table2[[#This Row],[2025]]/SUM(Table2[2025])</f>
        <v>3.4164404706904619E-5</v>
      </c>
      <c r="N382" s="4"/>
      <c r="O382" s="1" t="s">
        <v>373</v>
      </c>
      <c r="P382" s="1" t="s">
        <v>21</v>
      </c>
      <c r="Q382" s="1" t="s">
        <v>21</v>
      </c>
      <c r="R382" s="1" t="s">
        <v>21</v>
      </c>
      <c r="S382" s="1" t="s">
        <v>21</v>
      </c>
      <c r="T382" s="4">
        <v>28502959</v>
      </c>
      <c r="U382" s="4">
        <v>6789724</v>
      </c>
      <c r="V382" s="4">
        <v>44477286</v>
      </c>
      <c r="W382" s="4">
        <v>263597</v>
      </c>
      <c r="X382" s="4">
        <v>98905061</v>
      </c>
      <c r="Y382" s="4">
        <v>50412421</v>
      </c>
      <c r="Z382" s="4">
        <v>-12534828</v>
      </c>
    </row>
    <row r="383" spans="1:26" s="1" customFormat="1" ht="12.5" x14ac:dyDescent="0.25">
      <c r="A383" s="1" t="s">
        <v>464</v>
      </c>
      <c r="B383" s="1" t="s">
        <v>21</v>
      </c>
      <c r="C383" s="1" t="s">
        <v>21</v>
      </c>
      <c r="D383" s="1" t="s">
        <v>21</v>
      </c>
      <c r="E383" s="1" t="s">
        <v>21</v>
      </c>
      <c r="F383" s="1" t="s">
        <v>21</v>
      </c>
      <c r="G383" s="1" t="s">
        <v>21</v>
      </c>
      <c r="H383" s="1" t="s">
        <v>21</v>
      </c>
      <c r="I383" s="1" t="s">
        <v>21</v>
      </c>
      <c r="J383" s="1" t="s">
        <v>21</v>
      </c>
      <c r="K383" s="4">
        <v>426675624</v>
      </c>
      <c r="L383" s="4">
        <v>540284498</v>
      </c>
      <c r="M383" s="6">
        <f>Table2[[#This Row],[2025]]/SUM(Table2[2025])</f>
        <v>3.4016283999524277E-5</v>
      </c>
      <c r="N383" s="4"/>
      <c r="O383" s="1" t="s">
        <v>374</v>
      </c>
      <c r="P383" s="1" t="s">
        <v>21</v>
      </c>
      <c r="Q383" s="1" t="s">
        <v>21</v>
      </c>
      <c r="R383" s="1" t="s">
        <v>21</v>
      </c>
      <c r="S383" s="1" t="s">
        <v>21</v>
      </c>
      <c r="T383" s="4">
        <v>-1450489</v>
      </c>
      <c r="U383" s="4">
        <v>19632038</v>
      </c>
      <c r="V383" s="4">
        <v>-104271605</v>
      </c>
      <c r="W383" s="4">
        <v>17557166</v>
      </c>
      <c r="X383" s="4">
        <v>-3995767</v>
      </c>
      <c r="Y383" s="4">
        <v>-2355168</v>
      </c>
      <c r="Z383" s="4">
        <v>22563382</v>
      </c>
    </row>
    <row r="384" spans="1:26" s="1" customFormat="1" ht="12.5" x14ac:dyDescent="0.25">
      <c r="A384" s="1" t="s">
        <v>60</v>
      </c>
      <c r="B384" s="4">
        <v>265503945</v>
      </c>
      <c r="C384" s="4">
        <v>259214632</v>
      </c>
      <c r="D384" s="4">
        <v>316975887</v>
      </c>
      <c r="E384" s="4">
        <v>289285009</v>
      </c>
      <c r="F384" s="4">
        <v>300815282</v>
      </c>
      <c r="G384" s="4">
        <v>305836239</v>
      </c>
      <c r="H384" s="4">
        <v>367606238</v>
      </c>
      <c r="I384" s="4">
        <v>373592346</v>
      </c>
      <c r="J384" s="4">
        <v>406657525</v>
      </c>
      <c r="K384" s="4">
        <v>446263842</v>
      </c>
      <c r="L384" s="4">
        <v>523121428</v>
      </c>
      <c r="M384" s="6">
        <f>Table2[[#This Row],[2025]]/SUM(Table2[2025])</f>
        <v>3.2935698001619674E-5</v>
      </c>
      <c r="N384" s="4"/>
      <c r="O384" s="1" t="s">
        <v>375</v>
      </c>
      <c r="P384" s="1" t="s">
        <v>21</v>
      </c>
      <c r="Q384" s="1" t="s">
        <v>21</v>
      </c>
      <c r="R384" s="1" t="s">
        <v>21</v>
      </c>
      <c r="S384" s="1" t="s">
        <v>21</v>
      </c>
      <c r="T384" s="4">
        <v>1116395844</v>
      </c>
      <c r="U384" s="4">
        <v>2121616781</v>
      </c>
      <c r="V384" s="4">
        <v>388735765</v>
      </c>
      <c r="W384" s="4">
        <v>7408339</v>
      </c>
      <c r="X384" s="4">
        <v>-417176559</v>
      </c>
      <c r="Y384" s="4">
        <v>239691811</v>
      </c>
      <c r="Z384" s="4">
        <v>361731702</v>
      </c>
    </row>
    <row r="385" spans="1:26" s="1" customFormat="1" ht="12.5" x14ac:dyDescent="0.25">
      <c r="A385" s="1" t="s">
        <v>419</v>
      </c>
      <c r="B385" s="1" t="s">
        <v>21</v>
      </c>
      <c r="C385" s="1" t="s">
        <v>21</v>
      </c>
      <c r="D385" s="1" t="s">
        <v>21</v>
      </c>
      <c r="E385" s="1" t="s">
        <v>21</v>
      </c>
      <c r="F385" s="1" t="s">
        <v>21</v>
      </c>
      <c r="G385" s="1" t="s">
        <v>21</v>
      </c>
      <c r="H385" s="4">
        <v>18200581</v>
      </c>
      <c r="I385" s="4">
        <v>351917345</v>
      </c>
      <c r="J385" s="4">
        <v>377777973</v>
      </c>
      <c r="K385" s="4">
        <v>449605448</v>
      </c>
      <c r="L385" s="4">
        <v>519727191</v>
      </c>
      <c r="M385" s="6">
        <f>Table2[[#This Row],[2025]]/SUM(Table2[2025])</f>
        <v>3.2721997015970272E-5</v>
      </c>
      <c r="N385" s="4"/>
      <c r="O385" s="1" t="s">
        <v>376</v>
      </c>
      <c r="P385" s="1" t="s">
        <v>21</v>
      </c>
      <c r="Q385" s="1" t="s">
        <v>21</v>
      </c>
      <c r="R385" s="1" t="s">
        <v>21</v>
      </c>
      <c r="S385" s="1" t="s">
        <v>21</v>
      </c>
      <c r="T385" s="4">
        <v>1498804864</v>
      </c>
      <c r="U385" s="4">
        <v>1506236407</v>
      </c>
      <c r="V385" s="4">
        <v>242443639</v>
      </c>
      <c r="W385" s="4">
        <v>2494153971</v>
      </c>
      <c r="X385" s="4">
        <v>2031786300</v>
      </c>
      <c r="Y385" s="4">
        <v>-982313387</v>
      </c>
      <c r="Z385" s="4">
        <v>516331380</v>
      </c>
    </row>
    <row r="386" spans="1:26" s="1" customFormat="1" ht="12.5" x14ac:dyDescent="0.25">
      <c r="A386" s="1" t="s">
        <v>416</v>
      </c>
      <c r="B386" s="1" t="s">
        <v>21</v>
      </c>
      <c r="C386" s="1" t="s">
        <v>21</v>
      </c>
      <c r="D386" s="1" t="s">
        <v>21</v>
      </c>
      <c r="E386" s="1" t="s">
        <v>21</v>
      </c>
      <c r="F386" s="1" t="s">
        <v>21</v>
      </c>
      <c r="G386" s="1" t="s">
        <v>21</v>
      </c>
      <c r="H386" s="4">
        <v>400192004</v>
      </c>
      <c r="I386" s="4">
        <v>394440794</v>
      </c>
      <c r="J386" s="4">
        <v>700306389</v>
      </c>
      <c r="K386" s="4">
        <v>942573445</v>
      </c>
      <c r="L386" s="4">
        <v>518332946</v>
      </c>
      <c r="M386" s="6">
        <f>Table2[[#This Row],[2025]]/SUM(Table2[2025])</f>
        <v>3.2634215423012341E-5</v>
      </c>
      <c r="N386" s="4"/>
      <c r="O386" s="1" t="s">
        <v>377</v>
      </c>
      <c r="P386" s="1" t="s">
        <v>21</v>
      </c>
      <c r="Q386" s="1" t="s">
        <v>21</v>
      </c>
      <c r="R386" s="1" t="s">
        <v>21</v>
      </c>
      <c r="S386" s="1" t="s">
        <v>21</v>
      </c>
      <c r="T386" s="4">
        <v>116366045</v>
      </c>
      <c r="U386" s="4">
        <v>75850620</v>
      </c>
      <c r="V386" s="4">
        <v>62889583</v>
      </c>
      <c r="W386" s="4">
        <v>4590782</v>
      </c>
      <c r="X386" s="4">
        <v>6953389</v>
      </c>
      <c r="Y386" s="4">
        <v>3923384</v>
      </c>
      <c r="Z386" s="4">
        <v>8235641</v>
      </c>
    </row>
    <row r="387" spans="1:26" s="1" customFormat="1" ht="12.5" x14ac:dyDescent="0.25">
      <c r="A387" s="1" t="s">
        <v>465</v>
      </c>
      <c r="B387" s="1" t="s">
        <v>21</v>
      </c>
      <c r="C387" s="1" t="s">
        <v>21</v>
      </c>
      <c r="D387" s="1" t="s">
        <v>21</v>
      </c>
      <c r="E387" s="1" t="s">
        <v>21</v>
      </c>
      <c r="F387" s="1" t="s">
        <v>21</v>
      </c>
      <c r="G387" s="1" t="s">
        <v>21</v>
      </c>
      <c r="H387" s="1" t="s">
        <v>21</v>
      </c>
      <c r="I387" s="1" t="s">
        <v>21</v>
      </c>
      <c r="J387" s="1" t="s">
        <v>21</v>
      </c>
      <c r="K387" s="4">
        <v>215663880</v>
      </c>
      <c r="L387" s="4">
        <v>517832670</v>
      </c>
      <c r="M387" s="6">
        <f>Table2[[#This Row],[2025]]/SUM(Table2[2025])</f>
        <v>3.2602718071973875E-5</v>
      </c>
      <c r="N387" s="4"/>
      <c r="O387" s="1" t="s">
        <v>378</v>
      </c>
      <c r="P387" s="1" t="s">
        <v>21</v>
      </c>
      <c r="Q387" s="1" t="s">
        <v>21</v>
      </c>
      <c r="R387" s="1" t="s">
        <v>21</v>
      </c>
      <c r="S387" s="1" t="s">
        <v>21</v>
      </c>
      <c r="T387" s="4">
        <v>68956925</v>
      </c>
      <c r="U387" s="4">
        <v>16832749</v>
      </c>
      <c r="V387" s="4">
        <v>13316003</v>
      </c>
      <c r="W387" s="4">
        <v>-11694459</v>
      </c>
      <c r="X387" s="4">
        <v>9535674</v>
      </c>
      <c r="Y387" s="4">
        <v>-2800896</v>
      </c>
      <c r="Z387" s="4">
        <v>34745449</v>
      </c>
    </row>
    <row r="388" spans="1:26" s="1" customFormat="1" ht="12.5" x14ac:dyDescent="0.25">
      <c r="A388" s="1" t="s">
        <v>101</v>
      </c>
      <c r="B388" s="4">
        <v>659530076</v>
      </c>
      <c r="C388" s="4">
        <v>603516707</v>
      </c>
      <c r="D388" s="4">
        <v>681023457</v>
      </c>
      <c r="E388" s="4">
        <v>623576015</v>
      </c>
      <c r="F388" s="4">
        <v>667288320</v>
      </c>
      <c r="G388" s="4">
        <v>782696813</v>
      </c>
      <c r="H388" s="4">
        <v>879473437</v>
      </c>
      <c r="I388" s="4">
        <v>712933361</v>
      </c>
      <c r="J388" s="4">
        <v>627939359</v>
      </c>
      <c r="K388" s="4">
        <v>551139589</v>
      </c>
      <c r="L388" s="4">
        <v>509472895</v>
      </c>
      <c r="M388" s="7">
        <f>Table2[[#This Row],[2025]]/SUM(Table2[2025])</f>
        <v>3.2076387071131199E-5</v>
      </c>
      <c r="O388" s="1" t="s">
        <v>379</v>
      </c>
      <c r="P388" s="1" t="s">
        <v>21</v>
      </c>
      <c r="Q388" s="1" t="s">
        <v>21</v>
      </c>
      <c r="R388" s="1" t="s">
        <v>21</v>
      </c>
      <c r="S388" s="1" t="s">
        <v>21</v>
      </c>
      <c r="T388" s="4">
        <v>56298751</v>
      </c>
      <c r="U388" s="4">
        <v>27222954</v>
      </c>
      <c r="V388" s="4">
        <v>2726007</v>
      </c>
      <c r="W388" s="4">
        <v>-5282195</v>
      </c>
      <c r="X388" s="4">
        <v>-26591450</v>
      </c>
      <c r="Y388" s="4">
        <v>30836691</v>
      </c>
      <c r="Z388" s="4">
        <v>3446433</v>
      </c>
    </row>
    <row r="389" spans="1:26" s="1" customFormat="1" ht="12.5" x14ac:dyDescent="0.25">
      <c r="A389" s="1" t="s">
        <v>38</v>
      </c>
      <c r="B389" s="4">
        <v>80514878</v>
      </c>
      <c r="C389" s="4">
        <v>84984838</v>
      </c>
      <c r="D389" s="4">
        <v>69512837</v>
      </c>
      <c r="E389" s="4">
        <v>62485882</v>
      </c>
      <c r="F389" s="4">
        <v>53818716</v>
      </c>
      <c r="G389" s="4">
        <v>87955287</v>
      </c>
      <c r="H389" s="4">
        <v>379093650</v>
      </c>
      <c r="I389" s="4">
        <v>340762812</v>
      </c>
      <c r="J389" s="4">
        <v>409682358</v>
      </c>
      <c r="K389" s="4">
        <v>450575930</v>
      </c>
      <c r="L389" s="4">
        <v>506337359</v>
      </c>
      <c r="M389" s="6">
        <f>Table2[[#This Row],[2025]]/SUM(Table2[2025])</f>
        <v>3.1878973887037341E-5</v>
      </c>
      <c r="N389" s="4"/>
      <c r="O389" s="1" t="s">
        <v>380</v>
      </c>
      <c r="P389" s="1" t="s">
        <v>21</v>
      </c>
      <c r="Q389" s="1" t="s">
        <v>21</v>
      </c>
      <c r="R389" s="1" t="s">
        <v>21</v>
      </c>
      <c r="S389" s="1" t="s">
        <v>21</v>
      </c>
      <c r="T389" s="4">
        <v>680475999</v>
      </c>
      <c r="U389" s="4">
        <v>311029284</v>
      </c>
      <c r="V389" s="4">
        <v>246248183</v>
      </c>
      <c r="W389" s="4">
        <v>270799078</v>
      </c>
      <c r="X389" s="4">
        <v>124733198</v>
      </c>
      <c r="Y389" s="4">
        <v>-38804836</v>
      </c>
      <c r="Z389" s="4">
        <v>127189797</v>
      </c>
    </row>
    <row r="390" spans="1:26" s="1" customFormat="1" ht="12.5" x14ac:dyDescent="0.25">
      <c r="A390" s="1" t="s">
        <v>45</v>
      </c>
      <c r="B390" s="4">
        <v>120124525</v>
      </c>
      <c r="C390" s="4">
        <v>130257533</v>
      </c>
      <c r="D390" s="1" t="s">
        <v>21</v>
      </c>
      <c r="E390" s="1" t="s">
        <v>21</v>
      </c>
      <c r="F390" s="4">
        <v>156587093</v>
      </c>
      <c r="G390" s="4">
        <v>202478792</v>
      </c>
      <c r="H390" s="4">
        <v>400064388</v>
      </c>
      <c r="I390" s="4">
        <v>337243476</v>
      </c>
      <c r="J390" s="4">
        <v>446776426</v>
      </c>
      <c r="K390" s="4">
        <v>446304239</v>
      </c>
      <c r="L390" s="4">
        <v>504892108</v>
      </c>
      <c r="M390" s="6">
        <f>Table2[[#This Row],[2025]]/SUM(Table2[2025])</f>
        <v>3.1787980958962259E-5</v>
      </c>
      <c r="N390" s="4"/>
      <c r="O390" s="1" t="s">
        <v>381</v>
      </c>
      <c r="P390" s="1" t="s">
        <v>21</v>
      </c>
      <c r="Q390" s="1" t="s">
        <v>21</v>
      </c>
      <c r="R390" s="1" t="s">
        <v>21</v>
      </c>
      <c r="S390" s="1" t="s">
        <v>21</v>
      </c>
      <c r="T390" s="4">
        <v>1002486889</v>
      </c>
      <c r="U390" s="4">
        <v>115888373</v>
      </c>
      <c r="V390" s="4">
        <v>146640607</v>
      </c>
      <c r="W390" s="4">
        <v>141920236</v>
      </c>
      <c r="X390" s="4">
        <v>128381050</v>
      </c>
      <c r="Y390" s="4">
        <v>31210021</v>
      </c>
      <c r="Z390" s="4">
        <v>9570685</v>
      </c>
    </row>
    <row r="391" spans="1:26" s="1" customFormat="1" ht="12.5" x14ac:dyDescent="0.25">
      <c r="A391" s="1" t="s">
        <v>360</v>
      </c>
      <c r="B391" s="1" t="s">
        <v>21</v>
      </c>
      <c r="C391" s="1" t="s">
        <v>21</v>
      </c>
      <c r="D391" s="1" t="s">
        <v>21</v>
      </c>
      <c r="E391" s="1" t="s">
        <v>21</v>
      </c>
      <c r="F391" s="4">
        <v>65828826</v>
      </c>
      <c r="G391" s="4">
        <v>420556822</v>
      </c>
      <c r="H391" s="4">
        <v>958241073</v>
      </c>
      <c r="I391" s="4">
        <v>657895782</v>
      </c>
      <c r="J391" s="4">
        <v>613053890</v>
      </c>
      <c r="K391" s="4">
        <v>595280656</v>
      </c>
      <c r="L391" s="4">
        <v>501594447</v>
      </c>
      <c r="M391" s="6">
        <f>Table2[[#This Row],[2025]]/SUM(Table2[2025])</f>
        <v>3.1580360393268823E-5</v>
      </c>
      <c r="N391" s="4"/>
      <c r="O391" s="1" t="s">
        <v>382</v>
      </c>
      <c r="P391" s="1" t="s">
        <v>21</v>
      </c>
      <c r="Q391" s="1" t="s">
        <v>21</v>
      </c>
      <c r="R391" s="1" t="s">
        <v>21</v>
      </c>
      <c r="S391" s="1" t="s">
        <v>21</v>
      </c>
      <c r="T391" s="4">
        <v>752397236</v>
      </c>
      <c r="U391" s="4">
        <v>74324224</v>
      </c>
      <c r="V391" s="4">
        <v>320358069</v>
      </c>
      <c r="W391" s="4">
        <v>134498676</v>
      </c>
      <c r="X391" s="4">
        <v>51944271</v>
      </c>
      <c r="Y391" s="4">
        <v>287261682</v>
      </c>
      <c r="Z391" s="4">
        <v>80600301</v>
      </c>
    </row>
    <row r="392" spans="1:26" s="1" customFormat="1" ht="12.5" x14ac:dyDescent="0.25">
      <c r="A392" s="1" t="s">
        <v>67</v>
      </c>
      <c r="B392" s="4">
        <v>309366950</v>
      </c>
      <c r="C392" s="4">
        <v>512173822</v>
      </c>
      <c r="D392" s="4">
        <v>545034024</v>
      </c>
      <c r="E392" s="4">
        <v>513182538</v>
      </c>
      <c r="F392" s="4">
        <v>585832302</v>
      </c>
      <c r="G392" s="4">
        <v>456260819</v>
      </c>
      <c r="H392" s="4">
        <v>447022220</v>
      </c>
      <c r="I392" s="4">
        <v>433457360</v>
      </c>
      <c r="J392" s="4">
        <v>475662480</v>
      </c>
      <c r="K392" s="4">
        <v>448661766</v>
      </c>
      <c r="L392" s="4">
        <v>493585572</v>
      </c>
      <c r="M392" s="6">
        <f>Table2[[#This Row],[2025]]/SUM(Table2[2025])</f>
        <v>3.1076122038244445E-5</v>
      </c>
      <c r="N392" s="4"/>
      <c r="O392" s="1" t="s">
        <v>383</v>
      </c>
      <c r="P392" s="1" t="s">
        <v>21</v>
      </c>
      <c r="Q392" s="1" t="s">
        <v>21</v>
      </c>
      <c r="R392" s="1" t="s">
        <v>21</v>
      </c>
      <c r="S392" s="1" t="s">
        <v>21</v>
      </c>
      <c r="T392" s="4">
        <v>315644274</v>
      </c>
      <c r="U392" s="4">
        <v>55501494</v>
      </c>
      <c r="V392" s="4">
        <v>59779274</v>
      </c>
      <c r="W392" s="4">
        <v>67527340</v>
      </c>
      <c r="X392" s="4">
        <v>8610633</v>
      </c>
      <c r="Y392" s="4">
        <v>39183332</v>
      </c>
      <c r="Z392" s="4">
        <v>-74409054</v>
      </c>
    </row>
    <row r="393" spans="1:26" s="1" customFormat="1" ht="12.5" x14ac:dyDescent="0.25">
      <c r="A393" s="1" t="s">
        <v>420</v>
      </c>
      <c r="B393" s="1" t="s">
        <v>21</v>
      </c>
      <c r="C393" s="1" t="s">
        <v>21</v>
      </c>
      <c r="D393" s="1" t="s">
        <v>21</v>
      </c>
      <c r="E393" s="1" t="s">
        <v>21</v>
      </c>
      <c r="F393" s="1" t="s">
        <v>21</v>
      </c>
      <c r="G393" s="1" t="s">
        <v>21</v>
      </c>
      <c r="H393" s="4">
        <v>130983543</v>
      </c>
      <c r="I393" s="4">
        <v>240765737</v>
      </c>
      <c r="J393" s="4">
        <v>332317706</v>
      </c>
      <c r="K393" s="4">
        <v>386432481</v>
      </c>
      <c r="L393" s="4">
        <v>492706231</v>
      </c>
      <c r="M393" s="6">
        <f>Table2[[#This Row],[2025]]/SUM(Table2[2025])</f>
        <v>3.1020758774447033E-5</v>
      </c>
      <c r="N393" s="4"/>
      <c r="O393" s="1" t="s">
        <v>384</v>
      </c>
      <c r="P393" s="1" t="s">
        <v>21</v>
      </c>
      <c r="Q393" s="1" t="s">
        <v>21</v>
      </c>
      <c r="R393" s="1" t="s">
        <v>21</v>
      </c>
      <c r="S393" s="1" t="s">
        <v>21</v>
      </c>
      <c r="T393" s="1" t="s">
        <v>21</v>
      </c>
      <c r="U393" s="4">
        <v>291203355</v>
      </c>
      <c r="V393" s="4">
        <v>49789481</v>
      </c>
      <c r="W393" s="4">
        <v>-41330453</v>
      </c>
      <c r="X393" s="4">
        <v>-33089457</v>
      </c>
      <c r="Y393" s="4">
        <v>-14090137</v>
      </c>
      <c r="Z393" s="4">
        <v>752567704</v>
      </c>
    </row>
    <row r="394" spans="1:26" s="1" customFormat="1" ht="12.5" x14ac:dyDescent="0.25">
      <c r="A394" s="1" t="s">
        <v>78</v>
      </c>
      <c r="B394" s="4">
        <v>417988308</v>
      </c>
      <c r="C394" s="4">
        <v>888009315</v>
      </c>
      <c r="D394" s="4">
        <v>1967388034</v>
      </c>
      <c r="E394" s="4">
        <v>2482724629</v>
      </c>
      <c r="F394" s="4">
        <v>2455574578</v>
      </c>
      <c r="G394" s="4">
        <v>2153904266</v>
      </c>
      <c r="H394" s="4">
        <v>2590132023</v>
      </c>
      <c r="I394" s="4">
        <v>2358534632</v>
      </c>
      <c r="J394" s="4">
        <v>2470649613</v>
      </c>
      <c r="K394" s="4">
        <v>2435320818</v>
      </c>
      <c r="L394" s="4">
        <v>482336383</v>
      </c>
      <c r="M394" s="6">
        <f>Table2[[#This Row],[2025]]/SUM(Table2[2025])</f>
        <v>3.036787368167523E-5</v>
      </c>
      <c r="N394" s="4"/>
      <c r="O394" s="1" t="s">
        <v>385</v>
      </c>
      <c r="P394" s="1" t="s">
        <v>21</v>
      </c>
      <c r="Q394" s="1" t="s">
        <v>21</v>
      </c>
      <c r="R394" s="1" t="s">
        <v>21</v>
      </c>
      <c r="S394" s="1" t="s">
        <v>21</v>
      </c>
      <c r="T394" s="1" t="s">
        <v>21</v>
      </c>
      <c r="U394" s="4">
        <v>712325133</v>
      </c>
      <c r="V394" s="4">
        <v>838597960</v>
      </c>
      <c r="W394" s="4">
        <v>4583827566</v>
      </c>
      <c r="X394" s="4">
        <v>5933911627</v>
      </c>
      <c r="Y394" s="4">
        <v>3400893058</v>
      </c>
      <c r="Z394" s="4">
        <v>954162161</v>
      </c>
    </row>
    <row r="395" spans="1:26" s="1" customFormat="1" ht="12.5" x14ac:dyDescent="0.25">
      <c r="A395" s="1" t="s">
        <v>86</v>
      </c>
      <c r="B395" s="4">
        <v>485419826</v>
      </c>
      <c r="C395" s="4">
        <v>464521266</v>
      </c>
      <c r="D395" s="4">
        <v>439580082</v>
      </c>
      <c r="E395" s="4">
        <v>358227189</v>
      </c>
      <c r="F395" s="4">
        <v>303028841</v>
      </c>
      <c r="G395" s="4">
        <v>314964829</v>
      </c>
      <c r="H395" s="4">
        <v>380517153</v>
      </c>
      <c r="I395" s="4">
        <v>375930902</v>
      </c>
      <c r="J395" s="4">
        <v>318405825</v>
      </c>
      <c r="K395" s="4">
        <v>305461022</v>
      </c>
      <c r="L395" s="4">
        <v>481968492</v>
      </c>
      <c r="M395" s="6">
        <f>Table2[[#This Row],[2025]]/SUM(Table2[2025])</f>
        <v>3.0344711283377306E-5</v>
      </c>
      <c r="N395" s="4"/>
      <c r="O395" s="1" t="s">
        <v>386</v>
      </c>
      <c r="P395" s="1" t="s">
        <v>21</v>
      </c>
      <c r="Q395" s="1" t="s">
        <v>21</v>
      </c>
      <c r="R395" s="1" t="s">
        <v>21</v>
      </c>
      <c r="S395" s="1" t="s">
        <v>21</v>
      </c>
      <c r="T395" s="1" t="s">
        <v>21</v>
      </c>
      <c r="U395" s="4">
        <v>33056404</v>
      </c>
      <c r="V395" s="4">
        <v>53379980</v>
      </c>
      <c r="W395" s="4">
        <v>15791742</v>
      </c>
      <c r="X395" s="4">
        <v>-15244454</v>
      </c>
      <c r="Y395" s="4">
        <v>-7853168</v>
      </c>
      <c r="Z395" s="4">
        <v>-7471521</v>
      </c>
    </row>
    <row r="396" spans="1:26" s="1" customFormat="1" ht="12.5" x14ac:dyDescent="0.25">
      <c r="A396" s="1" t="s">
        <v>373</v>
      </c>
      <c r="B396" s="1" t="s">
        <v>21</v>
      </c>
      <c r="C396" s="1" t="s">
        <v>21</v>
      </c>
      <c r="D396" s="1" t="s">
        <v>21</v>
      </c>
      <c r="E396" s="1" t="s">
        <v>21</v>
      </c>
      <c r="F396" s="4">
        <v>94212069</v>
      </c>
      <c r="G396" s="4">
        <v>171292151</v>
      </c>
      <c r="H396" s="4">
        <v>247068443</v>
      </c>
      <c r="I396" s="4">
        <v>213455164</v>
      </c>
      <c r="J396" s="4">
        <v>368050255</v>
      </c>
      <c r="K396" s="4">
        <v>473013685</v>
      </c>
      <c r="L396" s="4">
        <v>466390668</v>
      </c>
      <c r="M396" s="6">
        <f>Table2[[#This Row],[2025]]/SUM(Table2[2025])</f>
        <v>2.9363932291494025E-5</v>
      </c>
      <c r="N396" s="4"/>
      <c r="O396" s="1" t="s">
        <v>387</v>
      </c>
      <c r="P396" s="1" t="s">
        <v>21</v>
      </c>
      <c r="Q396" s="1" t="s">
        <v>21</v>
      </c>
      <c r="R396" s="1" t="s">
        <v>21</v>
      </c>
      <c r="S396" s="1" t="s">
        <v>21</v>
      </c>
      <c r="T396" s="1" t="s">
        <v>21</v>
      </c>
      <c r="U396" s="4">
        <v>400527423</v>
      </c>
      <c r="V396" s="4">
        <v>54395089</v>
      </c>
      <c r="W396" s="4">
        <v>-127945311</v>
      </c>
      <c r="X396" s="4">
        <v>-48030572</v>
      </c>
      <c r="Y396" s="4">
        <v>-28426064</v>
      </c>
      <c r="Z396" s="4">
        <v>-23798134</v>
      </c>
    </row>
    <row r="397" spans="1:26" s="1" customFormat="1" ht="12.5" x14ac:dyDescent="0.25">
      <c r="A397" s="1" t="s">
        <v>425</v>
      </c>
      <c r="B397" s="1" t="s">
        <v>21</v>
      </c>
      <c r="C397" s="1" t="s">
        <v>21</v>
      </c>
      <c r="D397" s="1" t="s">
        <v>21</v>
      </c>
      <c r="E397" s="1" t="s">
        <v>21</v>
      </c>
      <c r="F397" s="1" t="s">
        <v>21</v>
      </c>
      <c r="G397" s="1" t="s">
        <v>21</v>
      </c>
      <c r="H397" s="4">
        <v>172215944</v>
      </c>
      <c r="I397" s="4">
        <v>207795587</v>
      </c>
      <c r="J397" s="4">
        <v>305100452</v>
      </c>
      <c r="K397" s="4">
        <v>388806494</v>
      </c>
      <c r="L397" s="4">
        <v>463269602</v>
      </c>
      <c r="M397" s="6">
        <f>Table2[[#This Row],[2025]]/SUM(Table2[2025])</f>
        <v>2.9167430137850408E-5</v>
      </c>
      <c r="N397" s="4"/>
      <c r="O397" s="1" t="s">
        <v>388</v>
      </c>
      <c r="P397" s="1" t="s">
        <v>21</v>
      </c>
      <c r="Q397" s="1" t="s">
        <v>21</v>
      </c>
      <c r="R397" s="1" t="s">
        <v>21</v>
      </c>
      <c r="S397" s="1" t="s">
        <v>21</v>
      </c>
      <c r="T397" s="1" t="s">
        <v>21</v>
      </c>
      <c r="U397" s="4">
        <v>4209882</v>
      </c>
      <c r="V397" s="4">
        <v>4002385</v>
      </c>
      <c r="W397" s="4">
        <v>4538473</v>
      </c>
      <c r="X397" s="4">
        <v>9130560</v>
      </c>
      <c r="Y397" s="4">
        <v>12874123</v>
      </c>
      <c r="Z397" s="4">
        <v>20394796</v>
      </c>
    </row>
    <row r="398" spans="1:26" s="1" customFormat="1" ht="12.5" x14ac:dyDescent="0.25">
      <c r="A398" s="1" t="s">
        <v>52</v>
      </c>
      <c r="B398" s="4">
        <v>219378920</v>
      </c>
      <c r="C398" s="4">
        <v>285564700</v>
      </c>
      <c r="D398" s="4">
        <v>371701230</v>
      </c>
      <c r="E398" s="4">
        <v>427504017</v>
      </c>
      <c r="F398" s="4">
        <v>411650593</v>
      </c>
      <c r="G398" s="4">
        <v>572351168</v>
      </c>
      <c r="H398" s="4">
        <v>564369923</v>
      </c>
      <c r="I398" s="4">
        <v>410024577</v>
      </c>
      <c r="J398" s="4">
        <v>493560039</v>
      </c>
      <c r="K398" s="4">
        <v>519362331</v>
      </c>
      <c r="L398" s="4">
        <v>459307574</v>
      </c>
      <c r="M398" s="6">
        <f>Table2[[#This Row],[2025]]/SUM(Table2[2025])</f>
        <v>2.8917981060260795E-5</v>
      </c>
      <c r="N398" s="4"/>
      <c r="O398" s="1" t="s">
        <v>389</v>
      </c>
      <c r="P398" s="1" t="s">
        <v>21</v>
      </c>
      <c r="Q398" s="1" t="s">
        <v>21</v>
      </c>
      <c r="R398" s="1" t="s">
        <v>21</v>
      </c>
      <c r="S398" s="1" t="s">
        <v>21</v>
      </c>
      <c r="T398" s="1" t="s">
        <v>21</v>
      </c>
      <c r="U398" s="4">
        <v>186296515</v>
      </c>
      <c r="V398" s="4">
        <v>10065847</v>
      </c>
      <c r="W398" s="4">
        <v>45039656</v>
      </c>
      <c r="X398" s="4">
        <v>6425053</v>
      </c>
      <c r="Y398" s="4">
        <v>-62723674</v>
      </c>
      <c r="Z398" s="4">
        <v>-46087525</v>
      </c>
    </row>
    <row r="399" spans="1:26" s="1" customFormat="1" ht="12.5" x14ac:dyDescent="0.25">
      <c r="A399" s="1" t="s">
        <v>429</v>
      </c>
      <c r="B399" s="1" t="s">
        <v>21</v>
      </c>
      <c r="C399" s="1" t="s">
        <v>21</v>
      </c>
      <c r="D399" s="1" t="s">
        <v>21</v>
      </c>
      <c r="E399" s="1" t="s">
        <v>21</v>
      </c>
      <c r="F399" s="1" t="s">
        <v>21</v>
      </c>
      <c r="G399" s="1" t="s">
        <v>21</v>
      </c>
      <c r="H399" s="1" t="s">
        <v>21</v>
      </c>
      <c r="I399" s="4">
        <v>312381213</v>
      </c>
      <c r="J399" s="4">
        <v>365519966</v>
      </c>
      <c r="K399" s="4">
        <v>388833142</v>
      </c>
      <c r="L399" s="4">
        <v>453669954</v>
      </c>
      <c r="M399" s="6">
        <f>Table2[[#This Row],[2025]]/SUM(Table2[2025])</f>
        <v>2.8563036797171098E-5</v>
      </c>
      <c r="N399" s="4"/>
      <c r="O399" s="1" t="s">
        <v>390</v>
      </c>
      <c r="P399" s="1" t="s">
        <v>21</v>
      </c>
      <c r="Q399" s="1" t="s">
        <v>21</v>
      </c>
      <c r="R399" s="1" t="s">
        <v>21</v>
      </c>
      <c r="S399" s="1" t="s">
        <v>21</v>
      </c>
      <c r="T399" s="1" t="s">
        <v>21</v>
      </c>
      <c r="U399" s="4">
        <v>188729449</v>
      </c>
      <c r="V399" s="4">
        <v>206913149</v>
      </c>
      <c r="W399" s="4">
        <v>-17641482</v>
      </c>
      <c r="X399" s="4">
        <v>-32121110</v>
      </c>
      <c r="Y399" s="4">
        <v>-131211120</v>
      </c>
      <c r="Z399" s="4">
        <v>-57968018</v>
      </c>
    </row>
    <row r="400" spans="1:26" s="1" customFormat="1" ht="12.5" x14ac:dyDescent="0.25">
      <c r="A400" s="1" t="s">
        <v>179</v>
      </c>
      <c r="B400" s="4">
        <v>2760041848</v>
      </c>
      <c r="C400" s="4">
        <v>1680728376</v>
      </c>
      <c r="D400" s="4">
        <v>1505912335</v>
      </c>
      <c r="E400" s="4">
        <v>886473206</v>
      </c>
      <c r="F400" s="4">
        <v>1005143261</v>
      </c>
      <c r="G400" s="4">
        <v>1260262505</v>
      </c>
      <c r="H400" s="4">
        <v>1385438058</v>
      </c>
      <c r="I400" s="4">
        <v>916586002</v>
      </c>
      <c r="J400" s="1" t="s">
        <v>21</v>
      </c>
      <c r="K400" s="4">
        <v>573213648</v>
      </c>
      <c r="L400" s="4">
        <v>446050214</v>
      </c>
      <c r="M400" s="6">
        <f>Table2[[#This Row],[2025]]/SUM(Table2[2025])</f>
        <v>2.8083298361583898E-5</v>
      </c>
      <c r="N400" s="4"/>
      <c r="O400" s="1" t="s">
        <v>391</v>
      </c>
      <c r="P400" s="1" t="s">
        <v>21</v>
      </c>
      <c r="Q400" s="1" t="s">
        <v>21</v>
      </c>
      <c r="R400" s="1" t="s">
        <v>21</v>
      </c>
      <c r="S400" s="1" t="s">
        <v>21</v>
      </c>
      <c r="T400" s="1" t="s">
        <v>21</v>
      </c>
      <c r="U400" s="4">
        <v>408734304</v>
      </c>
      <c r="V400" s="4">
        <v>411580166</v>
      </c>
      <c r="W400" s="4">
        <v>35560094</v>
      </c>
      <c r="X400" s="4">
        <v>99810726</v>
      </c>
      <c r="Y400" s="4">
        <v>-66645388</v>
      </c>
      <c r="Z400" s="4">
        <v>-1422449</v>
      </c>
    </row>
    <row r="401" spans="1:26" s="1" customFormat="1" ht="12.5" x14ac:dyDescent="0.25">
      <c r="A401" s="1" t="s">
        <v>347</v>
      </c>
      <c r="B401" s="1" t="s">
        <v>21</v>
      </c>
      <c r="C401" s="1" t="s">
        <v>21</v>
      </c>
      <c r="D401" s="1" t="s">
        <v>21</v>
      </c>
      <c r="E401" s="4">
        <v>143121076</v>
      </c>
      <c r="F401" s="4">
        <v>135456221</v>
      </c>
      <c r="G401" s="4">
        <v>145998933</v>
      </c>
      <c r="H401" s="4">
        <v>189713346</v>
      </c>
      <c r="I401" s="4">
        <v>241340406</v>
      </c>
      <c r="J401" s="4">
        <v>341658726</v>
      </c>
      <c r="K401" s="4">
        <v>367083371</v>
      </c>
      <c r="L401" s="4">
        <v>433922855</v>
      </c>
      <c r="M401" s="6">
        <f>Table2[[#This Row],[2025]]/SUM(Table2[2025])</f>
        <v>2.7319760467316594E-5</v>
      </c>
      <c r="N401" s="4"/>
      <c r="O401" s="1" t="s">
        <v>392</v>
      </c>
      <c r="P401" s="1" t="s">
        <v>21</v>
      </c>
      <c r="Q401" s="1" t="s">
        <v>21</v>
      </c>
      <c r="R401" s="1" t="s">
        <v>21</v>
      </c>
      <c r="S401" s="1" t="s">
        <v>21</v>
      </c>
      <c r="T401" s="1" t="s">
        <v>21</v>
      </c>
      <c r="U401" s="4">
        <v>504933376</v>
      </c>
      <c r="V401" s="4">
        <v>388818941</v>
      </c>
      <c r="W401" s="4">
        <v>127514875</v>
      </c>
      <c r="X401" s="4">
        <v>11098793</v>
      </c>
      <c r="Y401" s="4">
        <v>258483784</v>
      </c>
      <c r="Z401" s="4">
        <v>389400409</v>
      </c>
    </row>
    <row r="402" spans="1:26" s="1" customFormat="1" ht="12.5" x14ac:dyDescent="0.25">
      <c r="A402" s="1" t="s">
        <v>366</v>
      </c>
      <c r="B402" s="1" t="s">
        <v>21</v>
      </c>
      <c r="C402" s="1" t="s">
        <v>21</v>
      </c>
      <c r="D402" s="1" t="s">
        <v>21</v>
      </c>
      <c r="E402" s="1" t="s">
        <v>21</v>
      </c>
      <c r="F402" s="4">
        <v>173454279</v>
      </c>
      <c r="G402" s="4">
        <v>187880246</v>
      </c>
      <c r="H402" s="4">
        <v>235644924</v>
      </c>
      <c r="I402" s="4">
        <v>280304872</v>
      </c>
      <c r="J402" s="4">
        <v>414300598</v>
      </c>
      <c r="K402" s="4">
        <v>442850964</v>
      </c>
      <c r="L402" s="4">
        <v>427906943</v>
      </c>
      <c r="M402" s="6">
        <f>Table2[[#This Row],[2025]]/SUM(Table2[2025])</f>
        <v>2.6940998959507897E-5</v>
      </c>
      <c r="N402" s="4"/>
      <c r="O402" s="1" t="s">
        <v>393</v>
      </c>
      <c r="P402" s="1" t="s">
        <v>21</v>
      </c>
      <c r="Q402" s="1" t="s">
        <v>21</v>
      </c>
      <c r="R402" s="1" t="s">
        <v>21</v>
      </c>
      <c r="S402" s="1" t="s">
        <v>21</v>
      </c>
      <c r="T402" s="1" t="s">
        <v>21</v>
      </c>
      <c r="U402" s="4">
        <v>112765580</v>
      </c>
      <c r="V402" s="4">
        <v>178943882</v>
      </c>
      <c r="W402" s="4">
        <v>14587265</v>
      </c>
      <c r="X402" s="4">
        <v>-63243290</v>
      </c>
      <c r="Y402" s="4">
        <v>-94500546</v>
      </c>
      <c r="Z402" s="4">
        <v>-90358975</v>
      </c>
    </row>
    <row r="403" spans="1:26" s="1" customFormat="1" ht="12.5" x14ac:dyDescent="0.25">
      <c r="A403" s="1" t="s">
        <v>377</v>
      </c>
      <c r="B403" s="1" t="s">
        <v>21</v>
      </c>
      <c r="C403" s="1" t="s">
        <v>21</v>
      </c>
      <c r="D403" s="1" t="s">
        <v>21</v>
      </c>
      <c r="E403" s="1" t="s">
        <v>21</v>
      </c>
      <c r="F403" s="4">
        <v>117949645</v>
      </c>
      <c r="G403" s="4">
        <v>195926491</v>
      </c>
      <c r="H403" s="4">
        <v>275976846</v>
      </c>
      <c r="I403" s="4">
        <v>285373794</v>
      </c>
      <c r="J403" s="4">
        <v>305697551</v>
      </c>
      <c r="K403" s="4">
        <v>340904206</v>
      </c>
      <c r="L403" s="4">
        <v>417852060</v>
      </c>
      <c r="M403" s="6">
        <f>Table2[[#This Row],[2025]]/SUM(Table2[2025])</f>
        <v>2.6307944046816344E-5</v>
      </c>
      <c r="N403" s="4"/>
      <c r="O403" s="1" t="s">
        <v>394</v>
      </c>
      <c r="P403" s="1" t="s">
        <v>21</v>
      </c>
      <c r="Q403" s="1" t="s">
        <v>21</v>
      </c>
      <c r="R403" s="1" t="s">
        <v>21</v>
      </c>
      <c r="S403" s="1" t="s">
        <v>21</v>
      </c>
      <c r="T403" s="1" t="s">
        <v>21</v>
      </c>
      <c r="U403" s="4">
        <v>430187903</v>
      </c>
      <c r="V403" s="4">
        <v>110051346</v>
      </c>
      <c r="W403" s="4">
        <v>40940811</v>
      </c>
      <c r="X403" s="4">
        <v>86156491</v>
      </c>
      <c r="Y403" s="4">
        <v>3779256</v>
      </c>
      <c r="Z403" s="4">
        <v>-62139044</v>
      </c>
    </row>
    <row r="404" spans="1:26" s="1" customFormat="1" ht="12.5" x14ac:dyDescent="0.25">
      <c r="A404" s="1" t="s">
        <v>43</v>
      </c>
      <c r="B404" s="4">
        <v>107024163</v>
      </c>
      <c r="C404" s="4">
        <v>230060733</v>
      </c>
      <c r="D404" s="4">
        <v>249448151</v>
      </c>
      <c r="E404" s="4">
        <v>61995122</v>
      </c>
      <c r="F404" s="4">
        <v>69187087</v>
      </c>
      <c r="G404" s="4">
        <v>101943587</v>
      </c>
      <c r="H404" s="4">
        <v>120849321</v>
      </c>
      <c r="I404" s="4">
        <v>113426492</v>
      </c>
      <c r="J404" s="4">
        <v>302093305</v>
      </c>
      <c r="K404" s="4">
        <v>331890921</v>
      </c>
      <c r="L404" s="4">
        <v>397877856</v>
      </c>
      <c r="M404" s="6">
        <f>Table2[[#This Row],[2025]]/SUM(Table2[2025])</f>
        <v>2.5050369197929169E-5</v>
      </c>
      <c r="N404" s="4"/>
      <c r="O404" s="1" t="s">
        <v>395</v>
      </c>
      <c r="P404" s="1" t="s">
        <v>21</v>
      </c>
      <c r="Q404" s="1" t="s">
        <v>21</v>
      </c>
      <c r="R404" s="1" t="s">
        <v>21</v>
      </c>
      <c r="S404" s="1" t="s">
        <v>21</v>
      </c>
      <c r="T404" s="1" t="s">
        <v>21</v>
      </c>
      <c r="U404" s="4">
        <v>1097779179</v>
      </c>
      <c r="V404" s="4">
        <v>637670135</v>
      </c>
      <c r="W404" s="4">
        <v>315925469</v>
      </c>
      <c r="X404" s="4">
        <v>331911505</v>
      </c>
      <c r="Y404" s="4">
        <v>648608113</v>
      </c>
      <c r="Z404" s="4">
        <v>1012445406</v>
      </c>
    </row>
    <row r="405" spans="1:26" s="1" customFormat="1" ht="12.5" x14ac:dyDescent="0.25">
      <c r="A405" s="1" t="s">
        <v>505</v>
      </c>
      <c r="B405" s="1" t="s">
        <v>21</v>
      </c>
      <c r="C405" s="1" t="s">
        <v>21</v>
      </c>
      <c r="D405" s="1" t="s">
        <v>21</v>
      </c>
      <c r="E405" s="1" t="s">
        <v>21</v>
      </c>
      <c r="F405" s="1" t="s">
        <v>21</v>
      </c>
      <c r="G405" s="1" t="s">
        <v>21</v>
      </c>
      <c r="H405" s="1" t="s">
        <v>21</v>
      </c>
      <c r="I405" s="1" t="s">
        <v>21</v>
      </c>
      <c r="J405" s="1" t="s">
        <v>21</v>
      </c>
      <c r="K405" s="1" t="s">
        <v>21</v>
      </c>
      <c r="L405" s="4">
        <v>391873433</v>
      </c>
      <c r="M405" s="6">
        <f>Table2[[#This Row],[2025]]/SUM(Table2[2025])</f>
        <v>2.4672331036965174E-5</v>
      </c>
      <c r="N405" s="4"/>
      <c r="O405" s="1" t="s">
        <v>396</v>
      </c>
      <c r="P405" s="1" t="s">
        <v>21</v>
      </c>
      <c r="Q405" s="1" t="s">
        <v>21</v>
      </c>
      <c r="R405" s="1" t="s">
        <v>21</v>
      </c>
      <c r="S405" s="1" t="s">
        <v>21</v>
      </c>
      <c r="T405" s="1" t="s">
        <v>21</v>
      </c>
      <c r="U405" s="4">
        <v>-108389546</v>
      </c>
      <c r="V405" s="4">
        <v>-255650972</v>
      </c>
      <c r="W405" s="4">
        <v>-657874117</v>
      </c>
      <c r="X405" s="4">
        <v>-207213278</v>
      </c>
      <c r="Y405" s="4">
        <v>-273640009</v>
      </c>
      <c r="Z405" s="4">
        <v>76114817</v>
      </c>
    </row>
    <row r="406" spans="1:26" s="1" customFormat="1" ht="12.5" x14ac:dyDescent="0.25">
      <c r="A406" s="1" t="s">
        <v>339</v>
      </c>
      <c r="B406" s="1" t="s">
        <v>21</v>
      </c>
      <c r="C406" s="1" t="s">
        <v>21</v>
      </c>
      <c r="D406" s="4">
        <v>90697275</v>
      </c>
      <c r="E406" s="4">
        <v>84665457</v>
      </c>
      <c r="F406" s="4">
        <v>106025504</v>
      </c>
      <c r="G406" s="4">
        <v>179139787</v>
      </c>
      <c r="H406" s="4">
        <v>229209947</v>
      </c>
      <c r="I406" s="4">
        <v>135757899</v>
      </c>
      <c r="J406" s="4">
        <v>182519180</v>
      </c>
      <c r="K406" s="4">
        <v>299223565</v>
      </c>
      <c r="L406" s="4">
        <v>388213631</v>
      </c>
      <c r="M406" s="6">
        <f>Table2[[#This Row],[2025]]/SUM(Table2[2025])</f>
        <v>2.4441910092675878E-5</v>
      </c>
      <c r="N406" s="4"/>
      <c r="O406" s="1" t="s">
        <v>397</v>
      </c>
      <c r="P406" s="1" t="s">
        <v>21</v>
      </c>
      <c r="Q406" s="1" t="s">
        <v>21</v>
      </c>
      <c r="R406" s="1" t="s">
        <v>21</v>
      </c>
      <c r="S406" s="1" t="s">
        <v>21</v>
      </c>
      <c r="T406" s="1" t="s">
        <v>21</v>
      </c>
      <c r="U406" s="4">
        <v>1993449</v>
      </c>
      <c r="V406" s="1" t="s">
        <v>21</v>
      </c>
      <c r="W406" s="4">
        <v>3494391</v>
      </c>
      <c r="X406" s="4">
        <v>494697</v>
      </c>
      <c r="Y406" s="4">
        <v>5638948</v>
      </c>
      <c r="Z406" s="4">
        <v>91509684</v>
      </c>
    </row>
    <row r="407" spans="1:26" s="1" customFormat="1" ht="12.5" x14ac:dyDescent="0.25">
      <c r="A407" s="1" t="s">
        <v>113</v>
      </c>
      <c r="B407" s="4">
        <v>783316888</v>
      </c>
      <c r="C407" s="4">
        <v>716111093</v>
      </c>
      <c r="D407" s="4">
        <v>645083468</v>
      </c>
      <c r="E407" s="4">
        <v>558451996</v>
      </c>
      <c r="F407" s="4">
        <v>708425964</v>
      </c>
      <c r="G407" s="4">
        <v>897680570</v>
      </c>
      <c r="H407" s="4">
        <v>1242534621</v>
      </c>
      <c r="I407" s="4">
        <v>1459482546</v>
      </c>
      <c r="J407" s="4">
        <v>1412883531</v>
      </c>
      <c r="K407" s="4">
        <v>1166403524</v>
      </c>
      <c r="L407" s="4">
        <v>386994246</v>
      </c>
      <c r="M407" s="6">
        <f>Table2[[#This Row],[2025]]/SUM(Table2[2025])</f>
        <v>2.4365137676257671E-5</v>
      </c>
      <c r="N407" s="4"/>
      <c r="O407" s="1" t="s">
        <v>398</v>
      </c>
      <c r="P407" s="1" t="s">
        <v>21</v>
      </c>
      <c r="Q407" s="1" t="s">
        <v>21</v>
      </c>
      <c r="R407" s="1" t="s">
        <v>21</v>
      </c>
      <c r="S407" s="1" t="s">
        <v>21</v>
      </c>
      <c r="T407" s="1" t="s">
        <v>21</v>
      </c>
      <c r="U407" s="4">
        <v>224368335</v>
      </c>
      <c r="V407" s="4">
        <v>204057516</v>
      </c>
      <c r="W407" s="4">
        <v>290689277</v>
      </c>
      <c r="X407" s="4">
        <v>99364981</v>
      </c>
      <c r="Y407" s="4">
        <v>135792728</v>
      </c>
      <c r="Z407" s="4">
        <v>412813012</v>
      </c>
    </row>
    <row r="408" spans="1:26" s="1" customFormat="1" ht="12.5" x14ac:dyDescent="0.25">
      <c r="A408" s="1" t="s">
        <v>403</v>
      </c>
      <c r="B408" s="1" t="s">
        <v>21</v>
      </c>
      <c r="C408" s="1" t="s">
        <v>21</v>
      </c>
      <c r="D408" s="1" t="s">
        <v>21</v>
      </c>
      <c r="E408" s="1" t="s">
        <v>21</v>
      </c>
      <c r="F408" s="1" t="s">
        <v>21</v>
      </c>
      <c r="G408" s="4">
        <v>83040602</v>
      </c>
      <c r="H408" s="4">
        <v>171795950</v>
      </c>
      <c r="I408" s="4">
        <v>175514712</v>
      </c>
      <c r="J408" s="4">
        <v>285193951</v>
      </c>
      <c r="K408" s="4">
        <v>326943997</v>
      </c>
      <c r="L408" s="4">
        <v>370065574</v>
      </c>
      <c r="M408" s="6">
        <f>Table2[[#This Row],[2025]]/SUM(Table2[2025])</f>
        <v>2.3299309364287861E-5</v>
      </c>
      <c r="N408" s="4"/>
      <c r="O408" s="1" t="s">
        <v>399</v>
      </c>
      <c r="P408" s="1" t="s">
        <v>21</v>
      </c>
      <c r="Q408" s="1" t="s">
        <v>21</v>
      </c>
      <c r="R408" s="1" t="s">
        <v>21</v>
      </c>
      <c r="S408" s="1" t="s">
        <v>21</v>
      </c>
      <c r="T408" s="1" t="s">
        <v>21</v>
      </c>
      <c r="U408" s="4">
        <v>386045665</v>
      </c>
      <c r="V408" s="4">
        <v>706048196</v>
      </c>
      <c r="W408" s="4">
        <v>107902158</v>
      </c>
      <c r="X408" s="4">
        <v>-28404278</v>
      </c>
      <c r="Y408" s="4">
        <v>12489684</v>
      </c>
      <c r="Z408" s="4">
        <v>104630783</v>
      </c>
    </row>
    <row r="409" spans="1:26" s="1" customFormat="1" ht="12.5" x14ac:dyDescent="0.25">
      <c r="A409" s="1" t="s">
        <v>468</v>
      </c>
      <c r="B409" s="1" t="s">
        <v>21</v>
      </c>
      <c r="C409" s="1" t="s">
        <v>21</v>
      </c>
      <c r="D409" s="1" t="s">
        <v>21</v>
      </c>
      <c r="E409" s="1" t="s">
        <v>21</v>
      </c>
      <c r="F409" s="1" t="s">
        <v>21</v>
      </c>
      <c r="G409" s="1" t="s">
        <v>21</v>
      </c>
      <c r="H409" s="1" t="s">
        <v>21</v>
      </c>
      <c r="I409" s="1" t="s">
        <v>21</v>
      </c>
      <c r="J409" s="1" t="s">
        <v>21</v>
      </c>
      <c r="K409" s="4">
        <v>152030464</v>
      </c>
      <c r="L409" s="4">
        <v>366746655</v>
      </c>
      <c r="M409" s="6">
        <f>Table2[[#This Row],[2025]]/SUM(Table2[2025])</f>
        <v>2.3090350396015897E-5</v>
      </c>
      <c r="N409" s="4"/>
      <c r="O409" s="1" t="s">
        <v>400</v>
      </c>
      <c r="P409" s="1" t="s">
        <v>21</v>
      </c>
      <c r="Q409" s="1" t="s">
        <v>21</v>
      </c>
      <c r="R409" s="1" t="s">
        <v>21</v>
      </c>
      <c r="S409" s="1" t="s">
        <v>21</v>
      </c>
      <c r="T409" s="1" t="s">
        <v>21</v>
      </c>
      <c r="U409" s="4">
        <v>2028556</v>
      </c>
      <c r="V409" s="4">
        <v>82606810</v>
      </c>
      <c r="W409" s="4">
        <v>355156866</v>
      </c>
      <c r="X409" s="4">
        <v>130261144</v>
      </c>
      <c r="Y409" s="4">
        <v>-55025411</v>
      </c>
      <c r="Z409" s="4">
        <v>53576387</v>
      </c>
    </row>
    <row r="410" spans="1:26" s="1" customFormat="1" ht="12.5" x14ac:dyDescent="0.25">
      <c r="A410" s="1" t="s">
        <v>33</v>
      </c>
      <c r="B410" s="4">
        <v>65410816</v>
      </c>
      <c r="C410" s="4">
        <v>64198140</v>
      </c>
      <c r="D410" s="4">
        <v>48712657</v>
      </c>
      <c r="E410" s="4">
        <v>35020157</v>
      </c>
      <c r="F410" s="4">
        <v>32528718</v>
      </c>
      <c r="G410" s="4">
        <v>66313294</v>
      </c>
      <c r="H410" s="4">
        <v>185879087</v>
      </c>
      <c r="I410" s="4">
        <v>236890723</v>
      </c>
      <c r="J410" s="4">
        <v>255364959</v>
      </c>
      <c r="K410" s="4">
        <v>233586586</v>
      </c>
      <c r="L410" s="4">
        <v>346979273</v>
      </c>
      <c r="M410" s="6">
        <f>Table2[[#This Row],[2025]]/SUM(Table2[2025])</f>
        <v>2.1845797049532347E-5</v>
      </c>
      <c r="N410" s="4"/>
      <c r="O410" s="1" t="s">
        <v>401</v>
      </c>
      <c r="P410" s="1" t="s">
        <v>21</v>
      </c>
      <c r="Q410" s="1" t="s">
        <v>21</v>
      </c>
      <c r="R410" s="1" t="s">
        <v>21</v>
      </c>
      <c r="S410" s="1" t="s">
        <v>21</v>
      </c>
      <c r="T410" s="1" t="s">
        <v>21</v>
      </c>
      <c r="U410" s="4">
        <v>32460238</v>
      </c>
      <c r="V410" s="4">
        <v>75223626</v>
      </c>
      <c r="W410" s="4">
        <v>-1701474</v>
      </c>
      <c r="X410" s="4">
        <v>-2528791</v>
      </c>
      <c r="Y410" s="4">
        <v>26907650</v>
      </c>
      <c r="Z410" s="4">
        <v>69223079</v>
      </c>
    </row>
    <row r="411" spans="1:26" s="1" customFormat="1" ht="12.5" x14ac:dyDescent="0.25">
      <c r="A411" s="1" t="s">
        <v>297</v>
      </c>
      <c r="B411" s="1" t="s">
        <v>21</v>
      </c>
      <c r="C411" s="4">
        <v>183336613</v>
      </c>
      <c r="D411" s="4">
        <v>201374889</v>
      </c>
      <c r="E411" s="4">
        <v>145572888</v>
      </c>
      <c r="F411" s="4">
        <v>164304531</v>
      </c>
      <c r="G411" s="4">
        <v>165821827</v>
      </c>
      <c r="H411" s="4">
        <v>175220778</v>
      </c>
      <c r="I411" s="4">
        <v>152218793</v>
      </c>
      <c r="J411" s="4">
        <v>325608180</v>
      </c>
      <c r="K411" s="4">
        <v>367395889</v>
      </c>
      <c r="L411" s="4">
        <v>338693527</v>
      </c>
      <c r="M411" s="6">
        <f>Table2[[#This Row],[2025]]/SUM(Table2[2025])</f>
        <v>2.1324126910693896E-5</v>
      </c>
      <c r="N411" s="4"/>
      <c r="O411" s="1" t="s">
        <v>402</v>
      </c>
      <c r="P411" s="1" t="s">
        <v>21</v>
      </c>
      <c r="Q411" s="1" t="s">
        <v>21</v>
      </c>
      <c r="R411" s="1" t="s">
        <v>21</v>
      </c>
      <c r="S411" s="1" t="s">
        <v>21</v>
      </c>
      <c r="T411" s="1" t="s">
        <v>21</v>
      </c>
      <c r="U411" s="1" t="s">
        <v>21</v>
      </c>
      <c r="V411" s="4">
        <v>73559465</v>
      </c>
      <c r="W411" s="4">
        <v>1250329226</v>
      </c>
      <c r="X411" s="4">
        <v>886586418</v>
      </c>
      <c r="Y411" s="4">
        <v>2728709241</v>
      </c>
      <c r="Z411" s="4">
        <v>602564309</v>
      </c>
    </row>
    <row r="412" spans="1:26" s="1" customFormat="1" ht="12.5" x14ac:dyDescent="0.25">
      <c r="A412" s="1" t="s">
        <v>35</v>
      </c>
      <c r="B412" s="4">
        <v>69663268</v>
      </c>
      <c r="C412" s="4">
        <v>69117601</v>
      </c>
      <c r="D412" s="4">
        <v>163427596</v>
      </c>
      <c r="E412" s="4">
        <v>178827430</v>
      </c>
      <c r="F412" s="4">
        <v>186821037</v>
      </c>
      <c r="G412" s="4">
        <v>178416637</v>
      </c>
      <c r="H412" s="4">
        <v>645264039</v>
      </c>
      <c r="I412" s="4">
        <v>663366058</v>
      </c>
      <c r="J412" s="4">
        <v>217778699</v>
      </c>
      <c r="K412" s="4">
        <v>245902234</v>
      </c>
      <c r="L412" s="4">
        <v>329434939</v>
      </c>
      <c r="M412" s="6">
        <f>Table2[[#This Row],[2025]]/SUM(Table2[2025])</f>
        <v>2.0741206689942742E-5</v>
      </c>
      <c r="N412" s="4"/>
      <c r="O412" s="1" t="s">
        <v>403</v>
      </c>
      <c r="P412" s="1" t="s">
        <v>21</v>
      </c>
      <c r="Q412" s="1" t="s">
        <v>21</v>
      </c>
      <c r="R412" s="1" t="s">
        <v>21</v>
      </c>
      <c r="S412" s="1" t="s">
        <v>21</v>
      </c>
      <c r="T412" s="1" t="s">
        <v>21</v>
      </c>
      <c r="U412" s="4">
        <v>82994843</v>
      </c>
      <c r="V412" s="4">
        <v>82181005</v>
      </c>
      <c r="W412" s="4">
        <v>3506198</v>
      </c>
      <c r="X412" s="4">
        <v>104675694</v>
      </c>
      <c r="Y412" s="4">
        <v>13232620</v>
      </c>
      <c r="Z412" s="4">
        <v>14058882</v>
      </c>
    </row>
    <row r="413" spans="1:26" s="1" customFormat="1" ht="12.5" x14ac:dyDescent="0.25">
      <c r="A413" s="1" t="s">
        <v>401</v>
      </c>
      <c r="B413" s="1" t="s">
        <v>21</v>
      </c>
      <c r="C413" s="1" t="s">
        <v>21</v>
      </c>
      <c r="D413" s="1" t="s">
        <v>21</v>
      </c>
      <c r="E413" s="1" t="s">
        <v>21</v>
      </c>
      <c r="F413" s="1" t="s">
        <v>21</v>
      </c>
      <c r="G413" s="4">
        <v>33044732</v>
      </c>
      <c r="H413" s="4">
        <v>115246610</v>
      </c>
      <c r="I413" s="4">
        <v>73725606</v>
      </c>
      <c r="J413" s="4">
        <v>97164775</v>
      </c>
      <c r="K413" s="4">
        <v>184764873</v>
      </c>
      <c r="L413" s="4">
        <v>328592212</v>
      </c>
      <c r="M413" s="7">
        <f>Table2[[#This Row],[2025]]/SUM(Table2[2025])</f>
        <v>2.0688148641688194E-5</v>
      </c>
      <c r="O413" s="1" t="s">
        <v>404</v>
      </c>
      <c r="P413" s="1" t="s">
        <v>21</v>
      </c>
      <c r="Q413" s="1" t="s">
        <v>21</v>
      </c>
      <c r="R413" s="1" t="s">
        <v>21</v>
      </c>
      <c r="S413" s="1" t="s">
        <v>21</v>
      </c>
      <c r="T413" s="1" t="s">
        <v>21</v>
      </c>
      <c r="U413" s="4">
        <v>56621368</v>
      </c>
      <c r="V413" s="4">
        <v>22644364</v>
      </c>
      <c r="W413" s="1" t="s">
        <v>21</v>
      </c>
      <c r="X413" s="1" t="s">
        <v>21</v>
      </c>
      <c r="Y413" s="1" t="s">
        <v>21</v>
      </c>
      <c r="Z413" s="1" t="s">
        <v>21</v>
      </c>
    </row>
    <row r="414" spans="1:26" s="1" customFormat="1" ht="12.5" x14ac:dyDescent="0.25">
      <c r="A414" s="1" t="s">
        <v>432</v>
      </c>
      <c r="B414" s="1" t="s">
        <v>21</v>
      </c>
      <c r="C414" s="1" t="s">
        <v>21</v>
      </c>
      <c r="D414" s="1" t="s">
        <v>21</v>
      </c>
      <c r="E414" s="1" t="s">
        <v>21</v>
      </c>
      <c r="F414" s="1" t="s">
        <v>21</v>
      </c>
      <c r="G414" s="1" t="s">
        <v>21</v>
      </c>
      <c r="H414" s="1" t="s">
        <v>21</v>
      </c>
      <c r="I414" s="4">
        <v>245791742</v>
      </c>
      <c r="J414" s="4">
        <v>325502030</v>
      </c>
      <c r="K414" s="4">
        <v>309829213</v>
      </c>
      <c r="L414" s="4">
        <v>322433953</v>
      </c>
      <c r="M414" s="6">
        <f>Table2[[#This Row],[2025]]/SUM(Table2[2025])</f>
        <v>2.0300424974135132E-5</v>
      </c>
      <c r="N414" s="4"/>
      <c r="O414" s="1" t="s">
        <v>405</v>
      </c>
      <c r="P414" s="1" t="s">
        <v>21</v>
      </c>
      <c r="Q414" s="1" t="s">
        <v>21</v>
      </c>
      <c r="R414" s="1" t="s">
        <v>21</v>
      </c>
      <c r="S414" s="1" t="s">
        <v>21</v>
      </c>
      <c r="T414" s="1" t="s">
        <v>21</v>
      </c>
      <c r="U414" s="4">
        <v>-89505402</v>
      </c>
      <c r="V414" s="4">
        <v>-282530857</v>
      </c>
      <c r="W414" s="4">
        <v>-739597643</v>
      </c>
      <c r="X414" s="4">
        <v>-442328717</v>
      </c>
      <c r="Y414" s="4">
        <v>181604879</v>
      </c>
      <c r="Z414" s="4">
        <v>-755915455</v>
      </c>
    </row>
    <row r="415" spans="1:26" s="1" customFormat="1" ht="12.5" x14ac:dyDescent="0.25">
      <c r="A415" s="1" t="s">
        <v>79</v>
      </c>
      <c r="B415" s="4">
        <v>436372509</v>
      </c>
      <c r="C415" s="4">
        <v>477109410</v>
      </c>
      <c r="D415" s="4">
        <v>433817072</v>
      </c>
      <c r="E415" s="4">
        <v>339766549</v>
      </c>
      <c r="F415" s="4">
        <v>352537279</v>
      </c>
      <c r="G415" s="4">
        <v>293509726</v>
      </c>
      <c r="H415" s="4">
        <v>322988401</v>
      </c>
      <c r="I415" s="4">
        <v>275967961</v>
      </c>
      <c r="J415" s="4">
        <v>286170420</v>
      </c>
      <c r="K415" s="4">
        <v>323433959</v>
      </c>
      <c r="L415" s="4">
        <v>320456169</v>
      </c>
      <c r="M415" s="6">
        <f>Table2[[#This Row],[2025]]/SUM(Table2[2025])</f>
        <v>2.0175903795972964E-5</v>
      </c>
      <c r="N415" s="4"/>
      <c r="O415" s="1" t="s">
        <v>406</v>
      </c>
      <c r="P415" s="1" t="s">
        <v>21</v>
      </c>
      <c r="Q415" s="1" t="s">
        <v>21</v>
      </c>
      <c r="R415" s="1" t="s">
        <v>21</v>
      </c>
      <c r="S415" s="1" t="s">
        <v>21</v>
      </c>
      <c r="T415" s="1" t="s">
        <v>21</v>
      </c>
      <c r="U415" s="4">
        <v>586863485</v>
      </c>
      <c r="V415" s="4">
        <v>2236129</v>
      </c>
      <c r="W415" s="4">
        <v>11707391</v>
      </c>
      <c r="X415" s="4">
        <v>144084109</v>
      </c>
      <c r="Y415" s="4">
        <v>239597224</v>
      </c>
      <c r="Z415" s="4">
        <v>-6808132</v>
      </c>
    </row>
    <row r="416" spans="1:26" s="1" customFormat="1" ht="12.5" x14ac:dyDescent="0.25">
      <c r="A416" s="1" t="s">
        <v>500</v>
      </c>
      <c r="B416" s="1" t="s">
        <v>21</v>
      </c>
      <c r="C416" s="1" t="s">
        <v>21</v>
      </c>
      <c r="D416" s="1" t="s">
        <v>21</v>
      </c>
      <c r="E416" s="1" t="s">
        <v>21</v>
      </c>
      <c r="F416" s="1" t="s">
        <v>21</v>
      </c>
      <c r="G416" s="1" t="s">
        <v>21</v>
      </c>
      <c r="H416" s="1" t="s">
        <v>21</v>
      </c>
      <c r="I416" s="1" t="s">
        <v>21</v>
      </c>
      <c r="J416" s="1" t="s">
        <v>21</v>
      </c>
      <c r="K416" s="1" t="s">
        <v>21</v>
      </c>
      <c r="L416" s="4">
        <v>315492005</v>
      </c>
      <c r="M416" s="7">
        <f>Table2[[#This Row],[2025]]/SUM(Table2[2025])</f>
        <v>1.9863360287748497E-5</v>
      </c>
      <c r="O416" s="1" t="s">
        <v>407</v>
      </c>
      <c r="P416" s="1" t="s">
        <v>21</v>
      </c>
      <c r="Q416" s="1" t="s">
        <v>21</v>
      </c>
      <c r="R416" s="1" t="s">
        <v>21</v>
      </c>
      <c r="S416" s="1" t="s">
        <v>21</v>
      </c>
      <c r="T416" s="1" t="s">
        <v>21</v>
      </c>
      <c r="U416" s="1" t="s">
        <v>21</v>
      </c>
      <c r="V416" s="4">
        <v>1152507</v>
      </c>
      <c r="W416" s="4">
        <v>11260</v>
      </c>
      <c r="X416" s="4">
        <v>58070</v>
      </c>
      <c r="Y416" s="1" t="s">
        <v>21</v>
      </c>
      <c r="Z416" s="1" t="s">
        <v>21</v>
      </c>
    </row>
    <row r="417" spans="1:26" s="1" customFormat="1" ht="12.5" x14ac:dyDescent="0.25">
      <c r="A417" s="1" t="s">
        <v>452</v>
      </c>
      <c r="B417" s="1" t="s">
        <v>21</v>
      </c>
      <c r="C417" s="1" t="s">
        <v>21</v>
      </c>
      <c r="D417" s="1" t="s">
        <v>21</v>
      </c>
      <c r="E417" s="1" t="s">
        <v>21</v>
      </c>
      <c r="F417" s="1" t="s">
        <v>21</v>
      </c>
      <c r="G417" s="1" t="s">
        <v>21</v>
      </c>
      <c r="H417" s="1" t="s">
        <v>21</v>
      </c>
      <c r="I417" s="1" t="s">
        <v>21</v>
      </c>
      <c r="J417" s="4">
        <v>171681020</v>
      </c>
      <c r="K417" s="4">
        <v>241124860</v>
      </c>
      <c r="L417" s="4">
        <v>310912654</v>
      </c>
      <c r="M417" s="6">
        <f>Table2[[#This Row],[2025]]/SUM(Table2[2025])</f>
        <v>1.9575044586065151E-5</v>
      </c>
      <c r="N417" s="4"/>
      <c r="O417" s="1" t="s">
        <v>408</v>
      </c>
      <c r="P417" s="1" t="s">
        <v>21</v>
      </c>
      <c r="Q417" s="1" t="s">
        <v>21</v>
      </c>
      <c r="R417" s="1" t="s">
        <v>21</v>
      </c>
      <c r="S417" s="1" t="s">
        <v>21</v>
      </c>
      <c r="T417" s="1" t="s">
        <v>21</v>
      </c>
      <c r="U417" s="1" t="s">
        <v>21</v>
      </c>
      <c r="V417" s="4">
        <v>1038715632</v>
      </c>
      <c r="W417" s="4">
        <v>418664574</v>
      </c>
      <c r="X417" s="4">
        <v>150622412</v>
      </c>
      <c r="Y417" s="4">
        <v>566105447</v>
      </c>
      <c r="Z417" s="4">
        <v>330467016</v>
      </c>
    </row>
    <row r="418" spans="1:26" s="1" customFormat="1" ht="12.5" x14ac:dyDescent="0.25">
      <c r="A418" s="1" t="s">
        <v>387</v>
      </c>
      <c r="B418" s="1" t="s">
        <v>21</v>
      </c>
      <c r="C418" s="1" t="s">
        <v>21</v>
      </c>
      <c r="D418" s="1" t="s">
        <v>21</v>
      </c>
      <c r="E418" s="1" t="s">
        <v>21</v>
      </c>
      <c r="F418" s="1" t="s">
        <v>21</v>
      </c>
      <c r="G418" s="4">
        <v>409604810</v>
      </c>
      <c r="H418" s="4">
        <v>548557789</v>
      </c>
      <c r="I418" s="4">
        <v>313219467</v>
      </c>
      <c r="J418" s="4">
        <v>342411141</v>
      </c>
      <c r="K418" s="4">
        <v>334834145</v>
      </c>
      <c r="L418" s="4">
        <v>309119395</v>
      </c>
      <c r="M418" s="7">
        <f>Table2[[#This Row],[2025]]/SUM(Table2[2025])</f>
        <v>1.9462141092341916E-5</v>
      </c>
      <c r="O418" s="1" t="s">
        <v>409</v>
      </c>
      <c r="P418" s="1" t="s">
        <v>21</v>
      </c>
      <c r="Q418" s="1" t="s">
        <v>21</v>
      </c>
      <c r="R418" s="1" t="s">
        <v>21</v>
      </c>
      <c r="S418" s="1" t="s">
        <v>21</v>
      </c>
      <c r="T418" s="1" t="s">
        <v>21</v>
      </c>
      <c r="U418" s="1" t="s">
        <v>21</v>
      </c>
      <c r="V418" s="4">
        <v>73625852</v>
      </c>
      <c r="W418" s="4">
        <v>0</v>
      </c>
      <c r="X418" s="1" t="s">
        <v>21</v>
      </c>
      <c r="Y418" s="1" t="s">
        <v>21</v>
      </c>
      <c r="Z418" s="1" t="s">
        <v>21</v>
      </c>
    </row>
    <row r="419" spans="1:26" s="1" customFormat="1" ht="12.5" x14ac:dyDescent="0.25">
      <c r="A419" s="1" t="s">
        <v>93</v>
      </c>
      <c r="B419" s="4">
        <v>588770874</v>
      </c>
      <c r="C419" s="4">
        <v>522475327</v>
      </c>
      <c r="D419" s="4">
        <v>555369155</v>
      </c>
      <c r="E419" s="4">
        <v>344151226</v>
      </c>
      <c r="F419" s="4">
        <v>313886451</v>
      </c>
      <c r="G419" s="4">
        <v>224236537</v>
      </c>
      <c r="H419" s="4">
        <v>229812380</v>
      </c>
      <c r="I419" s="4">
        <v>218550167</v>
      </c>
      <c r="J419" s="4">
        <v>227214665</v>
      </c>
      <c r="K419" s="4">
        <v>231456414</v>
      </c>
      <c r="L419" s="4">
        <v>307503980</v>
      </c>
      <c r="M419" s="6">
        <f>Table2[[#This Row],[2025]]/SUM(Table2[2025])</f>
        <v>1.9360434647643792E-5</v>
      </c>
      <c r="N419" s="4"/>
      <c r="O419" s="1" t="s">
        <v>410</v>
      </c>
      <c r="P419" s="1" t="s">
        <v>21</v>
      </c>
      <c r="Q419" s="1" t="s">
        <v>21</v>
      </c>
      <c r="R419" s="1" t="s">
        <v>21</v>
      </c>
      <c r="S419" s="1" t="s">
        <v>21</v>
      </c>
      <c r="T419" s="1" t="s">
        <v>21</v>
      </c>
      <c r="U419" s="1" t="s">
        <v>21</v>
      </c>
      <c r="V419" s="4">
        <v>182780044</v>
      </c>
      <c r="W419" s="4">
        <v>251113126</v>
      </c>
      <c r="X419" s="4">
        <v>118430299</v>
      </c>
      <c r="Y419" s="4">
        <v>-40181072</v>
      </c>
      <c r="Z419" s="4">
        <v>225579561</v>
      </c>
    </row>
    <row r="420" spans="1:26" s="1" customFormat="1" ht="12.5" x14ac:dyDescent="0.25">
      <c r="A420" s="1" t="s">
        <v>290</v>
      </c>
      <c r="B420" s="1" t="s">
        <v>21</v>
      </c>
      <c r="C420" s="4">
        <v>238510854</v>
      </c>
      <c r="D420" s="4">
        <v>230242397</v>
      </c>
      <c r="E420" s="4">
        <v>194098758</v>
      </c>
      <c r="F420" s="4">
        <v>231132737</v>
      </c>
      <c r="G420" s="4">
        <v>241297894</v>
      </c>
      <c r="H420" s="4">
        <v>271576894</v>
      </c>
      <c r="I420" s="4">
        <v>272061990</v>
      </c>
      <c r="J420" s="4">
        <v>258219163</v>
      </c>
      <c r="K420" s="4">
        <v>284249407</v>
      </c>
      <c r="L420" s="4">
        <v>301443070</v>
      </c>
      <c r="M420" s="6">
        <f>Table2[[#This Row],[2025]]/SUM(Table2[2025])</f>
        <v>1.8978840068086641E-5</v>
      </c>
      <c r="N420" s="4"/>
      <c r="O420" s="1" t="s">
        <v>411</v>
      </c>
      <c r="P420" s="1" t="s">
        <v>21</v>
      </c>
      <c r="Q420" s="1" t="s">
        <v>21</v>
      </c>
      <c r="R420" s="1" t="s">
        <v>21</v>
      </c>
      <c r="S420" s="1" t="s">
        <v>21</v>
      </c>
      <c r="T420" s="1" t="s">
        <v>21</v>
      </c>
      <c r="U420" s="1" t="s">
        <v>21</v>
      </c>
      <c r="V420" s="4">
        <v>339536818</v>
      </c>
      <c r="W420" s="4">
        <v>145123706</v>
      </c>
      <c r="X420" s="4">
        <v>37808762</v>
      </c>
      <c r="Y420" s="4">
        <v>132799369</v>
      </c>
      <c r="Z420" s="4">
        <v>123933038</v>
      </c>
    </row>
    <row r="421" spans="1:26" s="1" customFormat="1" ht="12.5" x14ac:dyDescent="0.25">
      <c r="A421" s="1" t="s">
        <v>168</v>
      </c>
      <c r="B421" s="4">
        <v>2357308070</v>
      </c>
      <c r="C421" s="4">
        <v>1946378563</v>
      </c>
      <c r="D421" s="4">
        <v>1733718718</v>
      </c>
      <c r="E421" s="4">
        <v>602403457</v>
      </c>
      <c r="F421" s="4">
        <v>583407364</v>
      </c>
      <c r="G421" s="4">
        <v>532745949</v>
      </c>
      <c r="H421" s="4">
        <v>752082952</v>
      </c>
      <c r="I421" s="4">
        <v>606300265</v>
      </c>
      <c r="J421" s="4">
        <v>469484216</v>
      </c>
      <c r="K421" s="4">
        <v>534810060</v>
      </c>
      <c r="L421" s="4">
        <v>301276705</v>
      </c>
      <c r="M421" s="7">
        <f>Table2[[#This Row],[2025]]/SUM(Table2[2025])</f>
        <v>1.8968365736306754E-5</v>
      </c>
      <c r="O421" s="1" t="s">
        <v>412</v>
      </c>
      <c r="P421" s="1" t="s">
        <v>21</v>
      </c>
      <c r="Q421" s="1" t="s">
        <v>21</v>
      </c>
      <c r="R421" s="1" t="s">
        <v>21</v>
      </c>
      <c r="S421" s="1" t="s">
        <v>21</v>
      </c>
      <c r="T421" s="1" t="s">
        <v>21</v>
      </c>
      <c r="U421" s="1" t="s">
        <v>21</v>
      </c>
      <c r="V421" s="4">
        <v>448040539</v>
      </c>
      <c r="W421" s="4">
        <v>4508357</v>
      </c>
      <c r="X421" s="4">
        <v>3142849</v>
      </c>
      <c r="Y421" s="1" t="s">
        <v>21</v>
      </c>
      <c r="Z421" s="1" t="s">
        <v>21</v>
      </c>
    </row>
    <row r="422" spans="1:26" s="1" customFormat="1" ht="12.5" x14ac:dyDescent="0.25">
      <c r="A422" s="1" t="s">
        <v>26</v>
      </c>
      <c r="B422" s="4">
        <v>37501486</v>
      </c>
      <c r="C422" s="4">
        <v>169061482</v>
      </c>
      <c r="D422" s="4">
        <v>200263452</v>
      </c>
      <c r="E422" s="4">
        <v>181022098</v>
      </c>
      <c r="F422" s="4">
        <v>135088179</v>
      </c>
      <c r="G422" s="4">
        <v>228971070</v>
      </c>
      <c r="H422" s="4">
        <v>271295100</v>
      </c>
      <c r="I422" s="4">
        <v>212458056</v>
      </c>
      <c r="J422" s="4">
        <v>235318957</v>
      </c>
      <c r="K422" s="4">
        <v>246266091</v>
      </c>
      <c r="L422" s="4">
        <v>299644213</v>
      </c>
      <c r="M422" s="6">
        <f>Table2[[#This Row],[2025]]/SUM(Table2[2025])</f>
        <v>1.8865584124573465E-5</v>
      </c>
      <c r="N422" s="4"/>
      <c r="O422" s="1" t="s">
        <v>413</v>
      </c>
      <c r="P422" s="1" t="s">
        <v>21</v>
      </c>
      <c r="Q422" s="1" t="s">
        <v>21</v>
      </c>
      <c r="R422" s="1" t="s">
        <v>21</v>
      </c>
      <c r="S422" s="1" t="s">
        <v>21</v>
      </c>
      <c r="T422" s="1" t="s">
        <v>21</v>
      </c>
      <c r="U422" s="1" t="s">
        <v>21</v>
      </c>
      <c r="V422" s="4">
        <v>27404254</v>
      </c>
      <c r="W422" s="4">
        <v>50199065</v>
      </c>
      <c r="X422" s="4">
        <v>-29613258</v>
      </c>
      <c r="Y422" s="4">
        <v>-4483951</v>
      </c>
      <c r="Z422" s="4">
        <v>-49181056</v>
      </c>
    </row>
    <row r="423" spans="1:26" s="1" customFormat="1" ht="12.5" x14ac:dyDescent="0.25">
      <c r="A423" s="1" t="s">
        <v>390</v>
      </c>
      <c r="B423" s="1" t="s">
        <v>21</v>
      </c>
      <c r="C423" s="1" t="s">
        <v>21</v>
      </c>
      <c r="D423" s="1" t="s">
        <v>21</v>
      </c>
      <c r="E423" s="1" t="s">
        <v>21</v>
      </c>
      <c r="F423" s="1" t="s">
        <v>21</v>
      </c>
      <c r="G423" s="4">
        <v>183284397</v>
      </c>
      <c r="H423" s="4">
        <v>428619728</v>
      </c>
      <c r="I423" s="4">
        <v>366468928</v>
      </c>
      <c r="J423" s="4">
        <v>419154943</v>
      </c>
      <c r="K423" s="4">
        <v>343442449</v>
      </c>
      <c r="L423" s="4">
        <v>295768976</v>
      </c>
      <c r="M423" s="6">
        <f>Table2[[#This Row],[2025]]/SUM(Table2[2025])</f>
        <v>1.8621599403846822E-5</v>
      </c>
      <c r="N423" s="4"/>
      <c r="O423" s="1" t="s">
        <v>414</v>
      </c>
      <c r="P423" s="1" t="s">
        <v>21</v>
      </c>
      <c r="Q423" s="1" t="s">
        <v>21</v>
      </c>
      <c r="R423" s="1" t="s">
        <v>21</v>
      </c>
      <c r="S423" s="1" t="s">
        <v>21</v>
      </c>
      <c r="T423" s="1" t="s">
        <v>21</v>
      </c>
      <c r="U423" s="1" t="s">
        <v>21</v>
      </c>
      <c r="V423" s="4">
        <v>27048828</v>
      </c>
      <c r="W423" s="4">
        <v>632399043</v>
      </c>
      <c r="X423" s="4">
        <v>216142550</v>
      </c>
      <c r="Y423" s="4">
        <v>934130650</v>
      </c>
      <c r="Z423" s="4">
        <v>818493184</v>
      </c>
    </row>
    <row r="424" spans="1:26" s="1" customFormat="1" ht="12.5" x14ac:dyDescent="0.25">
      <c r="A424" s="1" t="s">
        <v>312</v>
      </c>
      <c r="B424" s="1" t="s">
        <v>21</v>
      </c>
      <c r="C424" s="4">
        <v>88693824</v>
      </c>
      <c r="D424" s="4">
        <v>121005536</v>
      </c>
      <c r="E424" s="4">
        <v>122464062</v>
      </c>
      <c r="F424" s="4">
        <v>134933592</v>
      </c>
      <c r="G424" s="4">
        <v>135695352</v>
      </c>
      <c r="H424" s="4">
        <v>197685885</v>
      </c>
      <c r="I424" s="4">
        <v>213830619</v>
      </c>
      <c r="J424" s="4">
        <v>226531690</v>
      </c>
      <c r="K424" s="4">
        <v>254190716</v>
      </c>
      <c r="L424" s="4">
        <v>278290662</v>
      </c>
      <c r="M424" s="6">
        <f>Table2[[#This Row],[2025]]/SUM(Table2[2025])</f>
        <v>1.7521165660036423E-5</v>
      </c>
      <c r="N424" s="4"/>
      <c r="O424" s="1" t="s">
        <v>415</v>
      </c>
      <c r="P424" s="1" t="s">
        <v>21</v>
      </c>
      <c r="Q424" s="1" t="s">
        <v>21</v>
      </c>
      <c r="R424" s="1" t="s">
        <v>21</v>
      </c>
      <c r="S424" s="1" t="s">
        <v>21</v>
      </c>
      <c r="T424" s="1" t="s">
        <v>21</v>
      </c>
      <c r="U424" s="1" t="s">
        <v>21</v>
      </c>
      <c r="V424" s="4">
        <v>212663292</v>
      </c>
      <c r="W424" s="4">
        <v>-20073726</v>
      </c>
      <c r="X424" s="4">
        <v>44839210</v>
      </c>
      <c r="Y424" s="4">
        <v>221131939</v>
      </c>
      <c r="Z424" s="4">
        <v>50062573</v>
      </c>
    </row>
    <row r="425" spans="1:26" s="1" customFormat="1" ht="12.5" x14ac:dyDescent="0.25">
      <c r="A425" s="1" t="s">
        <v>489</v>
      </c>
      <c r="B425" s="1" t="s">
        <v>21</v>
      </c>
      <c r="C425" s="1" t="s">
        <v>21</v>
      </c>
      <c r="D425" s="1" t="s">
        <v>21</v>
      </c>
      <c r="E425" s="1" t="s">
        <v>21</v>
      </c>
      <c r="F425" s="1" t="s">
        <v>21</v>
      </c>
      <c r="G425" s="1" t="s">
        <v>21</v>
      </c>
      <c r="H425" s="1" t="s">
        <v>21</v>
      </c>
      <c r="I425" s="1" t="s">
        <v>21</v>
      </c>
      <c r="J425" s="1" t="s">
        <v>21</v>
      </c>
      <c r="K425" s="1" t="s">
        <v>21</v>
      </c>
      <c r="L425" s="4">
        <v>272727337</v>
      </c>
      <c r="M425" s="6">
        <f>Table2[[#This Row],[2025]]/SUM(Table2[2025])</f>
        <v>1.7170899006297171E-5</v>
      </c>
      <c r="N425" s="4"/>
      <c r="O425" s="1" t="s">
        <v>416</v>
      </c>
      <c r="P425" s="1" t="s">
        <v>21</v>
      </c>
      <c r="Q425" s="1" t="s">
        <v>21</v>
      </c>
      <c r="R425" s="1" t="s">
        <v>21</v>
      </c>
      <c r="S425" s="1" t="s">
        <v>21</v>
      </c>
      <c r="T425" s="1" t="s">
        <v>21</v>
      </c>
      <c r="U425" s="1" t="s">
        <v>21</v>
      </c>
      <c r="V425" s="4">
        <v>359088565</v>
      </c>
      <c r="W425" s="4">
        <v>48290680</v>
      </c>
      <c r="X425" s="4">
        <v>155384075</v>
      </c>
      <c r="Y425" s="4">
        <v>121982932</v>
      </c>
      <c r="Z425" s="4">
        <v>-411865532</v>
      </c>
    </row>
    <row r="426" spans="1:26" s="1" customFormat="1" ht="12.5" x14ac:dyDescent="0.25">
      <c r="A426" s="1" t="s">
        <v>76</v>
      </c>
      <c r="B426" s="4">
        <v>409463143</v>
      </c>
      <c r="C426" s="4">
        <v>463627631</v>
      </c>
      <c r="D426" s="4">
        <v>92678073</v>
      </c>
      <c r="E426" s="4">
        <v>73205653</v>
      </c>
      <c r="F426" s="4">
        <v>77744954</v>
      </c>
      <c r="G426" s="4">
        <v>56173822</v>
      </c>
      <c r="H426" s="4">
        <v>121945525</v>
      </c>
      <c r="I426" s="4">
        <v>173347211</v>
      </c>
      <c r="J426" s="4">
        <v>235952446</v>
      </c>
      <c r="K426" s="4">
        <v>270554879</v>
      </c>
      <c r="L426" s="4">
        <v>269434811</v>
      </c>
      <c r="M426" s="6">
        <f>Table2[[#This Row],[2025]]/SUM(Table2[2025])</f>
        <v>1.6963601739937663E-5</v>
      </c>
      <c r="N426" s="4"/>
      <c r="O426" s="1" t="s">
        <v>417</v>
      </c>
      <c r="P426" s="1" t="s">
        <v>21</v>
      </c>
      <c r="Q426" s="1" t="s">
        <v>21</v>
      </c>
      <c r="R426" s="1" t="s">
        <v>21</v>
      </c>
      <c r="S426" s="1" t="s">
        <v>21</v>
      </c>
      <c r="T426" s="1" t="s">
        <v>21</v>
      </c>
      <c r="U426" s="1" t="s">
        <v>21</v>
      </c>
      <c r="V426" s="4">
        <v>431689012</v>
      </c>
      <c r="W426" s="4">
        <v>107211458</v>
      </c>
      <c r="X426" s="4">
        <v>486542569</v>
      </c>
      <c r="Y426" s="4">
        <v>1002564</v>
      </c>
      <c r="Z426" s="4">
        <v>120780262</v>
      </c>
    </row>
    <row r="427" spans="1:26" s="1" customFormat="1" ht="12.5" x14ac:dyDescent="0.25">
      <c r="A427" s="1" t="s">
        <v>496</v>
      </c>
      <c r="B427" s="1" t="s">
        <v>21</v>
      </c>
      <c r="C427" s="1" t="s">
        <v>21</v>
      </c>
      <c r="D427" s="1" t="s">
        <v>21</v>
      </c>
      <c r="E427" s="1" t="s">
        <v>21</v>
      </c>
      <c r="F427" s="1" t="s">
        <v>21</v>
      </c>
      <c r="G427" s="1" t="s">
        <v>21</v>
      </c>
      <c r="H427" s="1" t="s">
        <v>21</v>
      </c>
      <c r="I427" s="1" t="s">
        <v>21</v>
      </c>
      <c r="J427" s="1" t="s">
        <v>21</v>
      </c>
      <c r="K427" s="1" t="s">
        <v>21</v>
      </c>
      <c r="L427" s="4">
        <v>267956853</v>
      </c>
      <c r="M427" s="6">
        <f>Table2[[#This Row],[2025]]/SUM(Table2[2025])</f>
        <v>1.6870549580837276E-5</v>
      </c>
      <c r="N427" s="4"/>
      <c r="O427" s="1" t="s">
        <v>418</v>
      </c>
      <c r="P427" s="1" t="s">
        <v>21</v>
      </c>
      <c r="Q427" s="1" t="s">
        <v>21</v>
      </c>
      <c r="R427" s="1" t="s">
        <v>21</v>
      </c>
      <c r="S427" s="1" t="s">
        <v>21</v>
      </c>
      <c r="T427" s="1" t="s">
        <v>21</v>
      </c>
      <c r="U427" s="1" t="s">
        <v>21</v>
      </c>
      <c r="V427" s="4">
        <v>17186440</v>
      </c>
      <c r="W427" s="4">
        <v>752645</v>
      </c>
      <c r="X427" s="4">
        <v>1322110</v>
      </c>
      <c r="Y427" s="4">
        <v>4590491</v>
      </c>
      <c r="Z427" s="4">
        <v>224354</v>
      </c>
    </row>
    <row r="428" spans="1:26" s="1" customFormat="1" ht="12.5" x14ac:dyDescent="0.25">
      <c r="A428" s="1" t="s">
        <v>454</v>
      </c>
      <c r="B428" s="1" t="s">
        <v>21</v>
      </c>
      <c r="C428" s="1" t="s">
        <v>21</v>
      </c>
      <c r="D428" s="1" t="s">
        <v>21</v>
      </c>
      <c r="E428" s="1" t="s">
        <v>21</v>
      </c>
      <c r="F428" s="1" t="s">
        <v>21</v>
      </c>
      <c r="G428" s="1" t="s">
        <v>21</v>
      </c>
      <c r="H428" s="1" t="s">
        <v>21</v>
      </c>
      <c r="I428" s="1" t="s">
        <v>21</v>
      </c>
      <c r="J428" s="4">
        <v>149177182</v>
      </c>
      <c r="K428" s="4">
        <v>205509599</v>
      </c>
      <c r="L428" s="4">
        <v>266814139</v>
      </c>
      <c r="M428" s="6">
        <f>Table2[[#This Row],[2025]]/SUM(Table2[2025])</f>
        <v>1.67986043666064E-5</v>
      </c>
      <c r="N428" s="4"/>
      <c r="O428" s="1" t="s">
        <v>419</v>
      </c>
      <c r="P428" s="1" t="s">
        <v>21</v>
      </c>
      <c r="Q428" s="1" t="s">
        <v>21</v>
      </c>
      <c r="R428" s="1" t="s">
        <v>21</v>
      </c>
      <c r="S428" s="1" t="s">
        <v>21</v>
      </c>
      <c r="T428" s="1" t="s">
        <v>21</v>
      </c>
      <c r="U428" s="1" t="s">
        <v>21</v>
      </c>
      <c r="V428" s="4">
        <v>13832297</v>
      </c>
      <c r="W428" s="4">
        <v>329506675</v>
      </c>
      <c r="X428" s="4">
        <v>-1502887</v>
      </c>
      <c r="Y428" s="4">
        <v>16104255</v>
      </c>
      <c r="Z428" s="4">
        <v>-18805614</v>
      </c>
    </row>
    <row r="429" spans="1:26" s="1" customFormat="1" ht="12.5" x14ac:dyDescent="0.25">
      <c r="A429" s="1" t="s">
        <v>422</v>
      </c>
      <c r="B429" s="1" t="s">
        <v>21</v>
      </c>
      <c r="C429" s="1" t="s">
        <v>21</v>
      </c>
      <c r="D429" s="1" t="s">
        <v>21</v>
      </c>
      <c r="E429" s="1" t="s">
        <v>21</v>
      </c>
      <c r="F429" s="1" t="s">
        <v>21</v>
      </c>
      <c r="G429" s="1" t="s">
        <v>21</v>
      </c>
      <c r="H429" s="4">
        <v>76610758</v>
      </c>
      <c r="I429" s="4">
        <v>78970337</v>
      </c>
      <c r="J429" s="4">
        <v>113263197</v>
      </c>
      <c r="K429" s="4">
        <v>143377239</v>
      </c>
      <c r="L429" s="4">
        <v>265794951</v>
      </c>
      <c r="M429" s="6">
        <f>Table2[[#This Row],[2025]]/SUM(Table2[2025])</f>
        <v>1.6734436342935087E-5</v>
      </c>
      <c r="N429" s="4"/>
      <c r="O429" s="1" t="s">
        <v>420</v>
      </c>
      <c r="P429" s="1" t="s">
        <v>21</v>
      </c>
      <c r="Q429" s="1" t="s">
        <v>21</v>
      </c>
      <c r="R429" s="1" t="s">
        <v>21</v>
      </c>
      <c r="S429" s="1" t="s">
        <v>21</v>
      </c>
      <c r="T429" s="1" t="s">
        <v>21</v>
      </c>
      <c r="U429" s="1" t="s">
        <v>21</v>
      </c>
      <c r="V429" s="4">
        <v>123735514</v>
      </c>
      <c r="W429" s="4">
        <v>119378972</v>
      </c>
      <c r="X429" s="4">
        <v>29059176</v>
      </c>
      <c r="Y429" s="4">
        <v>17099873</v>
      </c>
      <c r="Z429" s="4">
        <v>98774948</v>
      </c>
    </row>
    <row r="430" spans="1:26" s="1" customFormat="1" ht="12.5" x14ac:dyDescent="0.25">
      <c r="A430" s="1" t="s">
        <v>334</v>
      </c>
      <c r="B430" s="1" t="s">
        <v>21</v>
      </c>
      <c r="C430" s="1" t="s">
        <v>21</v>
      </c>
      <c r="D430" s="4">
        <v>4909086</v>
      </c>
      <c r="E430" s="4">
        <v>76815959</v>
      </c>
      <c r="F430" s="4">
        <v>312681088</v>
      </c>
      <c r="G430" s="4">
        <v>311289757</v>
      </c>
      <c r="H430" s="4">
        <v>690604524</v>
      </c>
      <c r="I430" s="4">
        <v>542768466</v>
      </c>
      <c r="J430" s="4">
        <v>557697840</v>
      </c>
      <c r="K430" s="4">
        <v>634395416</v>
      </c>
      <c r="L430" s="4">
        <v>262732632</v>
      </c>
      <c r="M430" s="6">
        <f>Table2[[#This Row],[2025]]/SUM(Table2[2025])</f>
        <v>1.6541632897367526E-5</v>
      </c>
      <c r="N430" s="4"/>
      <c r="O430" s="1" t="s">
        <v>421</v>
      </c>
      <c r="P430" s="1" t="s">
        <v>21</v>
      </c>
      <c r="Q430" s="1" t="s">
        <v>21</v>
      </c>
      <c r="R430" s="1" t="s">
        <v>21</v>
      </c>
      <c r="S430" s="1" t="s">
        <v>21</v>
      </c>
      <c r="T430" s="1" t="s">
        <v>21</v>
      </c>
      <c r="U430" s="1" t="s">
        <v>21</v>
      </c>
      <c r="V430" s="1" t="s">
        <v>21</v>
      </c>
      <c r="W430" s="1" t="s">
        <v>21</v>
      </c>
      <c r="X430" s="1" t="s">
        <v>21</v>
      </c>
      <c r="Y430" s="1" t="s">
        <v>21</v>
      </c>
      <c r="Z430" s="4">
        <v>37247228</v>
      </c>
    </row>
    <row r="431" spans="1:26" s="1" customFormat="1" ht="12.5" x14ac:dyDescent="0.25">
      <c r="A431" s="1" t="s">
        <v>84</v>
      </c>
      <c r="B431" s="4">
        <v>482622613</v>
      </c>
      <c r="C431" s="4">
        <v>426398475</v>
      </c>
      <c r="D431" s="4">
        <v>383218676</v>
      </c>
      <c r="E431" s="4">
        <v>318620554</v>
      </c>
      <c r="F431" s="4">
        <v>301816188</v>
      </c>
      <c r="G431" s="4">
        <v>271371343</v>
      </c>
      <c r="H431" s="4">
        <v>285083334</v>
      </c>
      <c r="I431" s="4">
        <v>261923276</v>
      </c>
      <c r="J431" s="4">
        <v>257384143</v>
      </c>
      <c r="K431" s="4">
        <v>258550587</v>
      </c>
      <c r="L431" s="4">
        <v>261792425</v>
      </c>
      <c r="M431" s="6">
        <f>Table2[[#This Row],[2025]]/SUM(Table2[2025])</f>
        <v>1.6482437513363855E-5</v>
      </c>
      <c r="N431" s="4"/>
      <c r="O431" s="1" t="s">
        <v>422</v>
      </c>
      <c r="P431" s="1" t="s">
        <v>21</v>
      </c>
      <c r="Q431" s="1" t="s">
        <v>21</v>
      </c>
      <c r="R431" s="1" t="s">
        <v>21</v>
      </c>
      <c r="S431" s="1" t="s">
        <v>21</v>
      </c>
      <c r="T431" s="1" t="s">
        <v>21</v>
      </c>
      <c r="U431" s="1" t="s">
        <v>21</v>
      </c>
      <c r="V431" s="4">
        <v>69841093</v>
      </c>
      <c r="W431" s="4">
        <v>1390989</v>
      </c>
      <c r="X431" s="4">
        <v>29134147</v>
      </c>
      <c r="Y431" s="4">
        <v>22752980</v>
      </c>
      <c r="Z431" s="4">
        <v>94531425</v>
      </c>
    </row>
    <row r="432" spans="1:26" s="1" customFormat="1" ht="12.5" x14ac:dyDescent="0.25">
      <c r="A432" s="1" t="s">
        <v>427</v>
      </c>
      <c r="B432" s="1" t="s">
        <v>21</v>
      </c>
      <c r="C432" s="1" t="s">
        <v>21</v>
      </c>
      <c r="D432" s="1" t="s">
        <v>21</v>
      </c>
      <c r="E432" s="1" t="s">
        <v>21</v>
      </c>
      <c r="F432" s="1" t="s">
        <v>21</v>
      </c>
      <c r="G432" s="1" t="s">
        <v>21</v>
      </c>
      <c r="H432" s="4">
        <v>24938595</v>
      </c>
      <c r="I432" s="4">
        <v>61449836</v>
      </c>
      <c r="J432" s="4">
        <v>111747067</v>
      </c>
      <c r="K432" s="4">
        <v>171300471</v>
      </c>
      <c r="L432" s="4">
        <v>254295402</v>
      </c>
      <c r="M432" s="6">
        <f>Table2[[#This Row],[2025]]/SUM(Table2[2025])</f>
        <v>1.601042533373814E-5</v>
      </c>
      <c r="N432" s="4"/>
      <c r="O432" s="1" t="s">
        <v>423</v>
      </c>
      <c r="P432" s="1" t="s">
        <v>21</v>
      </c>
      <c r="Q432" s="1" t="s">
        <v>21</v>
      </c>
      <c r="R432" s="1" t="s">
        <v>21</v>
      </c>
      <c r="S432" s="1" t="s">
        <v>21</v>
      </c>
      <c r="T432" s="1" t="s">
        <v>21</v>
      </c>
      <c r="U432" s="1" t="s">
        <v>21</v>
      </c>
      <c r="V432" s="4">
        <v>1242218558</v>
      </c>
      <c r="W432" s="4">
        <v>346528198</v>
      </c>
      <c r="X432" s="4">
        <v>396524117</v>
      </c>
      <c r="Y432" s="4">
        <v>267253320</v>
      </c>
      <c r="Z432" s="4">
        <v>393136559</v>
      </c>
    </row>
    <row r="433" spans="1:26" s="1" customFormat="1" ht="12.5" x14ac:dyDescent="0.25">
      <c r="A433" s="1" t="s">
        <v>64</v>
      </c>
      <c r="B433" s="4">
        <v>299305632</v>
      </c>
      <c r="C433" s="4">
        <v>283370697</v>
      </c>
      <c r="D433" s="4">
        <v>260705003</v>
      </c>
      <c r="E433" s="4">
        <v>207367741</v>
      </c>
      <c r="F433" s="4">
        <v>208128789</v>
      </c>
      <c r="G433" s="4">
        <v>221069457</v>
      </c>
      <c r="H433" s="4">
        <v>238632078</v>
      </c>
      <c r="I433" s="4">
        <v>226023468</v>
      </c>
      <c r="J433" s="4">
        <v>225932255</v>
      </c>
      <c r="K433" s="4">
        <v>228141046</v>
      </c>
      <c r="L433" s="4">
        <v>234048111</v>
      </c>
      <c r="M433" s="7">
        <f>Table2[[#This Row],[2025]]/SUM(Table2[2025])</f>
        <v>1.4735656941480822E-5</v>
      </c>
      <c r="O433" s="1" t="s">
        <v>424</v>
      </c>
      <c r="P433" s="1" t="s">
        <v>21</v>
      </c>
      <c r="Q433" s="1" t="s">
        <v>21</v>
      </c>
      <c r="R433" s="1" t="s">
        <v>21</v>
      </c>
      <c r="S433" s="1" t="s">
        <v>21</v>
      </c>
      <c r="T433" s="1" t="s">
        <v>21</v>
      </c>
      <c r="U433" s="1" t="s">
        <v>21</v>
      </c>
      <c r="V433" s="4">
        <v>34049663</v>
      </c>
      <c r="W433" s="4">
        <v>286544797</v>
      </c>
      <c r="X433" s="4">
        <v>-403281428</v>
      </c>
      <c r="Y433" s="4">
        <v>-258699838</v>
      </c>
      <c r="Z433" s="4">
        <v>-83266302</v>
      </c>
    </row>
    <row r="434" spans="1:26" s="1" customFormat="1" ht="12.5" x14ac:dyDescent="0.25">
      <c r="A434" s="1" t="s">
        <v>434</v>
      </c>
      <c r="B434" s="1" t="s">
        <v>21</v>
      </c>
      <c r="C434" s="1" t="s">
        <v>21</v>
      </c>
      <c r="D434" s="1" t="s">
        <v>21</v>
      </c>
      <c r="E434" s="1" t="s">
        <v>21</v>
      </c>
      <c r="F434" s="1" t="s">
        <v>21</v>
      </c>
      <c r="G434" s="1" t="s">
        <v>21</v>
      </c>
      <c r="H434" s="1" t="s">
        <v>21</v>
      </c>
      <c r="I434" s="4">
        <v>71199133</v>
      </c>
      <c r="J434" s="4">
        <v>56582885</v>
      </c>
      <c r="K434" s="4">
        <v>180061277</v>
      </c>
      <c r="L434" s="4">
        <v>227562380</v>
      </c>
      <c r="M434" s="6">
        <f>Table2[[#This Row],[2025]]/SUM(Table2[2025])</f>
        <v>1.4327315653775547E-5</v>
      </c>
      <c r="N434" s="4"/>
      <c r="O434" s="1" t="s">
        <v>425</v>
      </c>
      <c r="P434" s="1" t="s">
        <v>21</v>
      </c>
      <c r="Q434" s="1" t="s">
        <v>21</v>
      </c>
      <c r="R434" s="1" t="s">
        <v>21</v>
      </c>
      <c r="S434" s="1" t="s">
        <v>21</v>
      </c>
      <c r="T434" s="1" t="s">
        <v>21</v>
      </c>
      <c r="U434" s="1" t="s">
        <v>21</v>
      </c>
      <c r="V434" s="1" t="s">
        <v>21</v>
      </c>
      <c r="W434" s="4">
        <v>58877936</v>
      </c>
      <c r="X434" s="4">
        <v>54211674</v>
      </c>
      <c r="Y434" s="4">
        <v>50036575</v>
      </c>
      <c r="Z434" s="4">
        <v>62681922</v>
      </c>
    </row>
    <row r="435" spans="1:26" s="1" customFormat="1" ht="12.5" x14ac:dyDescent="0.25">
      <c r="A435" s="1" t="s">
        <v>364</v>
      </c>
      <c r="B435" s="1" t="s">
        <v>21</v>
      </c>
      <c r="C435" s="1" t="s">
        <v>21</v>
      </c>
      <c r="D435" s="1" t="s">
        <v>21</v>
      </c>
      <c r="E435" s="1" t="s">
        <v>21</v>
      </c>
      <c r="F435" s="4">
        <v>1051959</v>
      </c>
      <c r="G435" s="4">
        <v>81600973</v>
      </c>
      <c r="H435" s="4">
        <v>89706268</v>
      </c>
      <c r="I435" s="4">
        <v>45637882</v>
      </c>
      <c r="J435" s="4">
        <v>9612769</v>
      </c>
      <c r="K435" s="4">
        <v>171700910</v>
      </c>
      <c r="L435" s="4">
        <v>222639406</v>
      </c>
      <c r="M435" s="6">
        <f>Table2[[#This Row],[2025]]/SUM(Table2[2025])</f>
        <v>1.4017365465816843E-5</v>
      </c>
      <c r="N435" s="4"/>
      <c r="O435" s="1" t="s">
        <v>426</v>
      </c>
      <c r="P435" s="1" t="s">
        <v>21</v>
      </c>
      <c r="Q435" s="1" t="s">
        <v>21</v>
      </c>
      <c r="R435" s="1" t="s">
        <v>21</v>
      </c>
      <c r="S435" s="1" t="s">
        <v>21</v>
      </c>
      <c r="T435" s="1" t="s">
        <v>21</v>
      </c>
      <c r="U435" s="1" t="s">
        <v>21</v>
      </c>
      <c r="V435" s="4">
        <v>920413</v>
      </c>
      <c r="W435" s="4">
        <v>2985613</v>
      </c>
      <c r="X435" s="4">
        <v>1348611</v>
      </c>
      <c r="Y435" s="4">
        <v>-1790817</v>
      </c>
      <c r="Z435" s="4">
        <v>5672</v>
      </c>
    </row>
    <row r="436" spans="1:26" s="1" customFormat="1" ht="12.5" x14ac:dyDescent="0.25">
      <c r="A436" s="1" t="s">
        <v>483</v>
      </c>
      <c r="B436" s="1" t="s">
        <v>21</v>
      </c>
      <c r="C436" s="1" t="s">
        <v>21</v>
      </c>
      <c r="D436" s="1" t="s">
        <v>21</v>
      </c>
      <c r="E436" s="1" t="s">
        <v>21</v>
      </c>
      <c r="F436" s="1" t="s">
        <v>21</v>
      </c>
      <c r="G436" s="1" t="s">
        <v>21</v>
      </c>
      <c r="H436" s="1" t="s">
        <v>21</v>
      </c>
      <c r="I436" s="1" t="s">
        <v>21</v>
      </c>
      <c r="J436" s="1" t="s">
        <v>21</v>
      </c>
      <c r="K436" s="1" t="s">
        <v>21</v>
      </c>
      <c r="L436" s="4">
        <v>220447804</v>
      </c>
      <c r="M436" s="6">
        <f>Table2[[#This Row],[2025]]/SUM(Table2[2025])</f>
        <v>1.3879382317453543E-5</v>
      </c>
      <c r="N436" s="4"/>
      <c r="O436" s="1" t="s">
        <v>427</v>
      </c>
      <c r="P436" s="1" t="s">
        <v>21</v>
      </c>
      <c r="Q436" s="1" t="s">
        <v>21</v>
      </c>
      <c r="R436" s="1" t="s">
        <v>21</v>
      </c>
      <c r="S436" s="1" t="s">
        <v>21</v>
      </c>
      <c r="T436" s="1" t="s">
        <v>21</v>
      </c>
      <c r="U436" s="1" t="s">
        <v>21</v>
      </c>
      <c r="V436" s="4">
        <v>24845113</v>
      </c>
      <c r="W436" s="4">
        <v>34996892</v>
      </c>
      <c r="X436" s="4">
        <v>32686414</v>
      </c>
      <c r="Y436" s="4">
        <v>26951324</v>
      </c>
      <c r="Z436" s="4">
        <v>71889786</v>
      </c>
    </row>
    <row r="437" spans="1:26" s="1" customFormat="1" ht="12.5" x14ac:dyDescent="0.25">
      <c r="A437" s="1" t="s">
        <v>343</v>
      </c>
      <c r="B437" s="1" t="s">
        <v>21</v>
      </c>
      <c r="C437" s="1" t="s">
        <v>21</v>
      </c>
      <c r="D437" s="1" t="s">
        <v>21</v>
      </c>
      <c r="E437" s="4">
        <v>44519838</v>
      </c>
      <c r="F437" s="4">
        <v>65619852</v>
      </c>
      <c r="G437" s="4">
        <v>63793445</v>
      </c>
      <c r="H437" s="4">
        <v>96942164</v>
      </c>
      <c r="I437" s="4">
        <v>133852822</v>
      </c>
      <c r="J437" s="4">
        <v>158489213</v>
      </c>
      <c r="K437" s="4">
        <v>182871068</v>
      </c>
      <c r="L437" s="4">
        <v>218521596</v>
      </c>
      <c r="M437" s="7">
        <f>Table2[[#This Row],[2025]]/SUM(Table2[2025])</f>
        <v>1.3758108361578992E-5</v>
      </c>
      <c r="O437" s="1" t="s">
        <v>428</v>
      </c>
      <c r="P437" s="1" t="s">
        <v>21</v>
      </c>
      <c r="Q437" s="1" t="s">
        <v>21</v>
      </c>
      <c r="R437" s="1" t="s">
        <v>21</v>
      </c>
      <c r="S437" s="1" t="s">
        <v>21</v>
      </c>
      <c r="T437" s="1" t="s">
        <v>21</v>
      </c>
      <c r="U437" s="1" t="s">
        <v>21</v>
      </c>
      <c r="V437" s="4">
        <v>89199239</v>
      </c>
      <c r="W437" s="4">
        <v>-50626611</v>
      </c>
      <c r="X437" s="4">
        <v>-20789204</v>
      </c>
      <c r="Y437" s="4">
        <v>-7120717</v>
      </c>
      <c r="Z437" s="1" t="s">
        <v>21</v>
      </c>
    </row>
    <row r="438" spans="1:26" s="1" customFormat="1" ht="12.5" x14ac:dyDescent="0.25">
      <c r="A438" s="1" t="s">
        <v>82</v>
      </c>
      <c r="B438" s="4">
        <v>468562477</v>
      </c>
      <c r="C438" s="4">
        <v>465476812</v>
      </c>
      <c r="D438" s="4">
        <v>346109933</v>
      </c>
      <c r="E438" s="4">
        <v>90941323</v>
      </c>
      <c r="F438" s="4">
        <v>92413089</v>
      </c>
      <c r="G438" s="4">
        <v>89853226</v>
      </c>
      <c r="H438" s="4">
        <v>200164121</v>
      </c>
      <c r="I438" s="4">
        <v>209386595</v>
      </c>
      <c r="J438" s="4">
        <v>199273746</v>
      </c>
      <c r="K438" s="4">
        <v>171602182</v>
      </c>
      <c r="L438" s="4">
        <v>213259668</v>
      </c>
      <c r="M438" s="6">
        <f>Table2[[#This Row],[2025]]/SUM(Table2[2025])</f>
        <v>1.342681764734301E-5</v>
      </c>
      <c r="N438" s="4"/>
      <c r="O438" s="1" t="s">
        <v>429</v>
      </c>
      <c r="P438" s="1" t="s">
        <v>21</v>
      </c>
      <c r="Q438" s="1" t="s">
        <v>21</v>
      </c>
      <c r="R438" s="1" t="s">
        <v>21</v>
      </c>
      <c r="S438" s="1" t="s">
        <v>21</v>
      </c>
      <c r="T438" s="1" t="s">
        <v>21</v>
      </c>
      <c r="U438" s="1" t="s">
        <v>21</v>
      </c>
      <c r="V438" s="1" t="s">
        <v>21</v>
      </c>
      <c r="W438" s="4">
        <v>292816162</v>
      </c>
      <c r="X438" s="4">
        <v>13304224</v>
      </c>
      <c r="Y438" s="4">
        <v>-3129110</v>
      </c>
      <c r="Z438" s="4">
        <v>19844528</v>
      </c>
    </row>
    <row r="439" spans="1:26" s="1" customFormat="1" ht="12.5" x14ac:dyDescent="0.25">
      <c r="A439" s="1" t="s">
        <v>22</v>
      </c>
      <c r="B439" s="4">
        <v>5094923</v>
      </c>
      <c r="C439" s="4">
        <v>31973989</v>
      </c>
      <c r="D439" s="4">
        <v>162186179</v>
      </c>
      <c r="E439" s="4">
        <v>95781350</v>
      </c>
      <c r="F439" s="4">
        <v>121796688</v>
      </c>
      <c r="G439" s="4">
        <v>66889654</v>
      </c>
      <c r="H439" s="4">
        <v>95388810</v>
      </c>
      <c r="I439" s="4">
        <v>115173679</v>
      </c>
      <c r="J439" s="4">
        <v>122385114</v>
      </c>
      <c r="K439" s="4">
        <v>155955358</v>
      </c>
      <c r="L439" s="4">
        <v>206882398</v>
      </c>
      <c r="M439" s="6">
        <f>Table2[[#This Row],[2025]]/SUM(Table2[2025])</f>
        <v>1.3025305058577884E-5</v>
      </c>
      <c r="N439" s="4"/>
      <c r="O439" s="1" t="s">
        <v>430</v>
      </c>
      <c r="P439" s="1" t="s">
        <v>21</v>
      </c>
      <c r="Q439" s="1" t="s">
        <v>21</v>
      </c>
      <c r="R439" s="1" t="s">
        <v>21</v>
      </c>
      <c r="S439" s="1" t="s">
        <v>21</v>
      </c>
      <c r="T439" s="1" t="s">
        <v>21</v>
      </c>
      <c r="U439" s="1" t="s">
        <v>21</v>
      </c>
      <c r="V439" s="1" t="s">
        <v>21</v>
      </c>
      <c r="W439" s="4">
        <v>13875082</v>
      </c>
      <c r="X439" s="4">
        <v>71000320</v>
      </c>
      <c r="Y439" s="4">
        <v>12468472</v>
      </c>
      <c r="Z439" s="4">
        <v>8130802</v>
      </c>
    </row>
    <row r="440" spans="1:26" s="1" customFormat="1" ht="12.5" x14ac:dyDescent="0.25">
      <c r="A440" s="1" t="s">
        <v>378</v>
      </c>
      <c r="B440" s="1" t="s">
        <v>21</v>
      </c>
      <c r="C440" s="1" t="s">
        <v>21</v>
      </c>
      <c r="D440" s="1" t="s">
        <v>21</v>
      </c>
      <c r="E440" s="1" t="s">
        <v>21</v>
      </c>
      <c r="F440" s="4">
        <v>70634204</v>
      </c>
      <c r="G440" s="4">
        <v>101425815</v>
      </c>
      <c r="H440" s="4">
        <v>130006944</v>
      </c>
      <c r="I440" s="4">
        <v>105622725</v>
      </c>
      <c r="J440" s="4">
        <v>135314159</v>
      </c>
      <c r="K440" s="4">
        <v>158503018</v>
      </c>
      <c r="L440" s="4">
        <v>201803869</v>
      </c>
      <c r="M440" s="6">
        <f>Table2[[#This Row],[2025]]/SUM(Table2[2025])</f>
        <v>1.2705561135879181E-5</v>
      </c>
      <c r="N440" s="4"/>
      <c r="O440" s="1" t="s">
        <v>431</v>
      </c>
      <c r="P440" s="1" t="s">
        <v>21</v>
      </c>
      <c r="Q440" s="1" t="s">
        <v>21</v>
      </c>
      <c r="R440" s="1" t="s">
        <v>21</v>
      </c>
      <c r="S440" s="1" t="s">
        <v>21</v>
      </c>
      <c r="T440" s="1" t="s">
        <v>21</v>
      </c>
      <c r="U440" s="1" t="s">
        <v>21</v>
      </c>
      <c r="V440" s="1" t="s">
        <v>21</v>
      </c>
      <c r="W440" s="4">
        <v>-18950</v>
      </c>
      <c r="X440" s="4">
        <v>-47016579</v>
      </c>
      <c r="Y440" s="4">
        <v>671837420</v>
      </c>
      <c r="Z440" s="4">
        <v>518221999</v>
      </c>
    </row>
    <row r="441" spans="1:26" s="1" customFormat="1" ht="12.5" x14ac:dyDescent="0.25">
      <c r="A441" s="1" t="s">
        <v>28</v>
      </c>
      <c r="B441" s="4">
        <v>41994400</v>
      </c>
      <c r="C441" s="4">
        <v>85132619</v>
      </c>
      <c r="D441" s="4">
        <v>102718515</v>
      </c>
      <c r="E441" s="4">
        <v>102370079</v>
      </c>
      <c r="F441" s="4">
        <v>106327135</v>
      </c>
      <c r="G441" s="4">
        <v>97328441</v>
      </c>
      <c r="H441" s="4">
        <v>152844721</v>
      </c>
      <c r="I441" s="4">
        <v>151088378</v>
      </c>
      <c r="J441" s="4">
        <v>152780397</v>
      </c>
      <c r="K441" s="4">
        <v>169581951</v>
      </c>
      <c r="L441" s="4">
        <v>182691787</v>
      </c>
      <c r="M441" s="6">
        <f>Table2[[#This Row],[2025]]/SUM(Table2[2025])</f>
        <v>1.1502265443441608E-5</v>
      </c>
      <c r="N441" s="4"/>
      <c r="O441" s="1" t="s">
        <v>432</v>
      </c>
      <c r="P441" s="1" t="s">
        <v>21</v>
      </c>
      <c r="Q441" s="1" t="s">
        <v>21</v>
      </c>
      <c r="R441" s="1" t="s">
        <v>21</v>
      </c>
      <c r="S441" s="1" t="s">
        <v>21</v>
      </c>
      <c r="T441" s="1" t="s">
        <v>21</v>
      </c>
      <c r="U441" s="1" t="s">
        <v>21</v>
      </c>
      <c r="V441" s="1" t="s">
        <v>21</v>
      </c>
      <c r="W441" s="4">
        <v>15701511</v>
      </c>
      <c r="X441" s="4">
        <v>63431331</v>
      </c>
      <c r="Y441" s="4">
        <v>-34650704</v>
      </c>
      <c r="Z441" s="4">
        <v>-3539996</v>
      </c>
    </row>
    <row r="442" spans="1:26" s="1" customFormat="1" ht="12.5" x14ac:dyDescent="0.25">
      <c r="A442" s="1" t="s">
        <v>304</v>
      </c>
      <c r="B442" s="1" t="s">
        <v>21</v>
      </c>
      <c r="C442" s="4">
        <v>51130200</v>
      </c>
      <c r="D442" s="4">
        <v>58194274</v>
      </c>
      <c r="E442" s="4">
        <v>56051276</v>
      </c>
      <c r="F442" s="4">
        <v>61678749</v>
      </c>
      <c r="G442" s="4">
        <v>75581291</v>
      </c>
      <c r="H442" s="4">
        <v>130036655</v>
      </c>
      <c r="I442" s="4">
        <v>116743314</v>
      </c>
      <c r="J442" s="4">
        <v>161501370</v>
      </c>
      <c r="K442" s="4">
        <v>184990452</v>
      </c>
      <c r="L442" s="4">
        <v>174079650</v>
      </c>
      <c r="M442" s="6">
        <f>Table2[[#This Row],[2025]]/SUM(Table2[2025])</f>
        <v>1.0960045744154936E-5</v>
      </c>
      <c r="N442" s="4"/>
      <c r="O442" s="1" t="s">
        <v>433</v>
      </c>
      <c r="P442" s="1" t="s">
        <v>21</v>
      </c>
      <c r="Q442" s="1" t="s">
        <v>21</v>
      </c>
      <c r="R442" s="1" t="s">
        <v>21</v>
      </c>
      <c r="S442" s="1" t="s">
        <v>21</v>
      </c>
      <c r="T442" s="1" t="s">
        <v>21</v>
      </c>
      <c r="U442" s="1" t="s">
        <v>21</v>
      </c>
      <c r="V442" s="1" t="s">
        <v>21</v>
      </c>
      <c r="W442" s="4">
        <v>4289724</v>
      </c>
      <c r="X442" s="4">
        <v>106051</v>
      </c>
      <c r="Y442" s="4">
        <v>11230176</v>
      </c>
      <c r="Z442" s="4">
        <v>-1558368</v>
      </c>
    </row>
    <row r="443" spans="1:26" s="1" customFormat="1" ht="12.5" x14ac:dyDescent="0.25">
      <c r="A443" s="1" t="s">
        <v>507</v>
      </c>
      <c r="B443" s="1" t="s">
        <v>21</v>
      </c>
      <c r="C443" s="1" t="s">
        <v>21</v>
      </c>
      <c r="D443" s="1" t="s">
        <v>21</v>
      </c>
      <c r="E443" s="1" t="s">
        <v>21</v>
      </c>
      <c r="F443" s="1" t="s">
        <v>21</v>
      </c>
      <c r="G443" s="1" t="s">
        <v>21</v>
      </c>
      <c r="H443" s="1" t="s">
        <v>21</v>
      </c>
      <c r="I443" s="1" t="s">
        <v>21</v>
      </c>
      <c r="J443" s="1" t="s">
        <v>21</v>
      </c>
      <c r="K443" s="1" t="s">
        <v>21</v>
      </c>
      <c r="L443" s="4">
        <v>166480498</v>
      </c>
      <c r="M443" s="6">
        <f>Table2[[#This Row],[2025]]/SUM(Table2[2025])</f>
        <v>1.0481603527980981E-5</v>
      </c>
      <c r="N443" s="4"/>
      <c r="O443" s="1" t="s">
        <v>434</v>
      </c>
      <c r="P443" s="1" t="s">
        <v>21</v>
      </c>
      <c r="Q443" s="1" t="s">
        <v>21</v>
      </c>
      <c r="R443" s="1" t="s">
        <v>21</v>
      </c>
      <c r="S443" s="1" t="s">
        <v>21</v>
      </c>
      <c r="T443" s="1" t="s">
        <v>21</v>
      </c>
      <c r="U443" s="1" t="s">
        <v>21</v>
      </c>
      <c r="V443" s="1" t="s">
        <v>21</v>
      </c>
      <c r="W443" s="4">
        <v>68018589</v>
      </c>
      <c r="X443" s="4">
        <v>-17847183</v>
      </c>
      <c r="Y443" s="4">
        <v>116849393</v>
      </c>
      <c r="Z443" s="4">
        <v>7659763</v>
      </c>
    </row>
    <row r="444" spans="1:26" s="1" customFormat="1" ht="12.5" x14ac:dyDescent="0.25">
      <c r="A444" s="1" t="s">
        <v>362</v>
      </c>
      <c r="B444" s="1" t="s">
        <v>21</v>
      </c>
      <c r="C444" s="1" t="s">
        <v>21</v>
      </c>
      <c r="D444" s="1" t="s">
        <v>21</v>
      </c>
      <c r="E444" s="1" t="s">
        <v>21</v>
      </c>
      <c r="F444" s="4">
        <v>1989855</v>
      </c>
      <c r="G444" s="4">
        <v>57373703</v>
      </c>
      <c r="H444" s="4">
        <v>80679674</v>
      </c>
      <c r="I444" s="4">
        <v>32601794</v>
      </c>
      <c r="J444" s="4">
        <v>37035142</v>
      </c>
      <c r="K444" s="4">
        <v>28573604</v>
      </c>
      <c r="L444" s="4">
        <v>141139477</v>
      </c>
      <c r="M444" s="6">
        <f>Table2[[#This Row],[2025]]/SUM(Table2[2025])</f>
        <v>8.8861341588525903E-6</v>
      </c>
      <c r="N444" s="4"/>
      <c r="O444" s="1" t="s">
        <v>435</v>
      </c>
      <c r="P444" s="1" t="s">
        <v>21</v>
      </c>
      <c r="Q444" s="1" t="s">
        <v>21</v>
      </c>
      <c r="R444" s="1" t="s">
        <v>21</v>
      </c>
      <c r="S444" s="1" t="s">
        <v>21</v>
      </c>
      <c r="T444" s="1" t="s">
        <v>21</v>
      </c>
      <c r="U444" s="1" t="s">
        <v>21</v>
      </c>
      <c r="V444" s="1" t="s">
        <v>21</v>
      </c>
      <c r="W444" s="4">
        <v>89734101</v>
      </c>
      <c r="X444" s="4">
        <v>423846847</v>
      </c>
      <c r="Y444" s="4">
        <v>248502202</v>
      </c>
      <c r="Z444" s="4">
        <v>714840429</v>
      </c>
    </row>
    <row r="445" spans="1:26" s="1" customFormat="1" ht="12.5" x14ac:dyDescent="0.25">
      <c r="A445" s="1" t="s">
        <v>348</v>
      </c>
      <c r="B445" s="1" t="s">
        <v>21</v>
      </c>
      <c r="C445" s="1" t="s">
        <v>21</v>
      </c>
      <c r="D445" s="1" t="s">
        <v>21</v>
      </c>
      <c r="E445" s="4">
        <v>20948552</v>
      </c>
      <c r="F445" s="4">
        <v>33297942</v>
      </c>
      <c r="G445" s="4">
        <v>32528342</v>
      </c>
      <c r="H445" s="4">
        <v>49642449</v>
      </c>
      <c r="I445" s="4">
        <v>76810389</v>
      </c>
      <c r="J445" s="4">
        <v>97520553</v>
      </c>
      <c r="K445" s="4">
        <v>118246686</v>
      </c>
      <c r="L445" s="4">
        <v>139740327</v>
      </c>
      <c r="M445" s="6">
        <f>Table2[[#This Row],[2025]]/SUM(Table2[2025])</f>
        <v>8.7980437473488097E-6</v>
      </c>
      <c r="N445" s="4"/>
      <c r="O445" s="1" t="s">
        <v>436</v>
      </c>
      <c r="P445" s="1" t="s">
        <v>21</v>
      </c>
      <c r="Q445" s="1" t="s">
        <v>21</v>
      </c>
      <c r="R445" s="1" t="s">
        <v>21</v>
      </c>
      <c r="S445" s="1" t="s">
        <v>21</v>
      </c>
      <c r="T445" s="1" t="s">
        <v>21</v>
      </c>
      <c r="U445" s="1" t="s">
        <v>21</v>
      </c>
      <c r="V445" s="1" t="s">
        <v>21</v>
      </c>
      <c r="W445" s="4">
        <v>-1346780244</v>
      </c>
      <c r="X445" s="4">
        <v>2228154283</v>
      </c>
      <c r="Y445" s="4">
        <v>2263920490</v>
      </c>
      <c r="Z445" s="4">
        <v>-3720241172</v>
      </c>
    </row>
    <row r="446" spans="1:26" s="1" customFormat="1" ht="12.5" x14ac:dyDescent="0.25">
      <c r="A446" s="1" t="s">
        <v>490</v>
      </c>
      <c r="B446" s="1" t="s">
        <v>21</v>
      </c>
      <c r="C446" s="1" t="s">
        <v>21</v>
      </c>
      <c r="D446" s="1" t="s">
        <v>21</v>
      </c>
      <c r="E446" s="1" t="s">
        <v>21</v>
      </c>
      <c r="F446" s="1" t="s">
        <v>21</v>
      </c>
      <c r="G446" s="1" t="s">
        <v>21</v>
      </c>
      <c r="H446" s="1" t="s">
        <v>21</v>
      </c>
      <c r="I446" s="1" t="s">
        <v>21</v>
      </c>
      <c r="J446" s="1" t="s">
        <v>21</v>
      </c>
      <c r="K446" s="1" t="s">
        <v>21</v>
      </c>
      <c r="L446" s="4">
        <v>133129851</v>
      </c>
      <c r="M446" s="6">
        <f>Table2[[#This Row],[2025]]/SUM(Table2[2025])</f>
        <v>8.3818485209071289E-6</v>
      </c>
      <c r="N446" s="4"/>
      <c r="O446" s="1" t="s">
        <v>437</v>
      </c>
      <c r="P446" s="1" t="s">
        <v>21</v>
      </c>
      <c r="Q446" s="1" t="s">
        <v>21</v>
      </c>
      <c r="R446" s="1" t="s">
        <v>21</v>
      </c>
      <c r="S446" s="1" t="s">
        <v>21</v>
      </c>
      <c r="T446" s="1" t="s">
        <v>21</v>
      </c>
      <c r="U446" s="1" t="s">
        <v>21</v>
      </c>
      <c r="V446" s="1" t="s">
        <v>21</v>
      </c>
      <c r="W446" s="4">
        <v>7935992</v>
      </c>
      <c r="X446" s="4">
        <v>9136842</v>
      </c>
      <c r="Y446" s="4">
        <v>31039636</v>
      </c>
      <c r="Z446" s="4">
        <v>-3662637</v>
      </c>
    </row>
    <row r="447" spans="1:26" s="1" customFormat="1" ht="12.5" x14ac:dyDescent="0.25">
      <c r="A447" s="1" t="s">
        <v>341</v>
      </c>
      <c r="B447" s="1" t="s">
        <v>21</v>
      </c>
      <c r="C447" s="1" t="s">
        <v>21</v>
      </c>
      <c r="D447" s="4">
        <v>46978434</v>
      </c>
      <c r="E447" s="4">
        <v>49450490</v>
      </c>
      <c r="F447" s="4">
        <v>281622567</v>
      </c>
      <c r="G447" s="4">
        <v>369988054</v>
      </c>
      <c r="H447" s="4">
        <v>429156163</v>
      </c>
      <c r="I447" s="4">
        <v>357969733</v>
      </c>
      <c r="J447" s="4">
        <v>111355093</v>
      </c>
      <c r="K447" s="4">
        <v>127532137</v>
      </c>
      <c r="L447" s="4">
        <v>132053702</v>
      </c>
      <c r="M447" s="6">
        <f>Table2[[#This Row],[2025]]/SUM(Table2[2025])</f>
        <v>8.3140942356272212E-6</v>
      </c>
      <c r="N447" s="4"/>
      <c r="O447" s="1" t="s">
        <v>438</v>
      </c>
      <c r="P447" s="1" t="s">
        <v>21</v>
      </c>
      <c r="Q447" s="1" t="s">
        <v>21</v>
      </c>
      <c r="R447" s="1" t="s">
        <v>21</v>
      </c>
      <c r="S447" s="1" t="s">
        <v>21</v>
      </c>
      <c r="T447" s="1" t="s">
        <v>21</v>
      </c>
      <c r="U447" s="1" t="s">
        <v>21</v>
      </c>
      <c r="V447" s="1" t="s">
        <v>21</v>
      </c>
      <c r="W447" s="4">
        <v>4953663953</v>
      </c>
      <c r="X447" s="4">
        <v>394030934</v>
      </c>
      <c r="Y447" s="4">
        <v>-299433660</v>
      </c>
      <c r="Z447" s="4">
        <v>53876114</v>
      </c>
    </row>
    <row r="448" spans="1:26" s="1" customFormat="1" ht="12.5" x14ac:dyDescent="0.25">
      <c r="A448" s="1" t="s">
        <v>437</v>
      </c>
      <c r="B448" s="1" t="s">
        <v>21</v>
      </c>
      <c r="C448" s="1" t="s">
        <v>21</v>
      </c>
      <c r="D448" s="1" t="s">
        <v>21</v>
      </c>
      <c r="E448" s="1" t="s">
        <v>21</v>
      </c>
      <c r="F448" s="1" t="s">
        <v>21</v>
      </c>
      <c r="G448" s="1" t="s">
        <v>21</v>
      </c>
      <c r="H448" s="1" t="s">
        <v>21</v>
      </c>
      <c r="I448" s="4">
        <v>58810950</v>
      </c>
      <c r="J448" s="4">
        <v>80464039</v>
      </c>
      <c r="K448" s="4">
        <v>122644687</v>
      </c>
      <c r="L448" s="4">
        <v>131821775</v>
      </c>
      <c r="M448" s="6">
        <f>Table2[[#This Row],[2025]]/SUM(Table2[2025])</f>
        <v>8.2994921237243955E-6</v>
      </c>
      <c r="N448" s="4"/>
      <c r="O448" s="1" t="s">
        <v>439</v>
      </c>
      <c r="P448" s="1" t="s">
        <v>21</v>
      </c>
      <c r="Q448" s="1" t="s">
        <v>21</v>
      </c>
      <c r="R448" s="1" t="s">
        <v>21</v>
      </c>
      <c r="S448" s="1" t="s">
        <v>21</v>
      </c>
      <c r="T448" s="1" t="s">
        <v>21</v>
      </c>
      <c r="U448" s="1" t="s">
        <v>21</v>
      </c>
      <c r="V448" s="1" t="s">
        <v>21</v>
      </c>
      <c r="W448" s="4">
        <v>193293257</v>
      </c>
      <c r="X448" s="4">
        <v>225609856</v>
      </c>
      <c r="Y448" s="4">
        <v>253234607</v>
      </c>
      <c r="Z448" s="4">
        <v>519541044</v>
      </c>
    </row>
    <row r="449" spans="1:26" s="1" customFormat="1" ht="12.5" x14ac:dyDescent="0.25">
      <c r="A449" s="1" t="s">
        <v>302</v>
      </c>
      <c r="B449" s="1" t="s">
        <v>21</v>
      </c>
      <c r="C449" s="4">
        <v>153534634</v>
      </c>
      <c r="D449" s="4">
        <v>177342811</v>
      </c>
      <c r="E449" s="4">
        <v>154686800</v>
      </c>
      <c r="F449" s="4">
        <v>144004915</v>
      </c>
      <c r="G449" s="4">
        <v>128673983</v>
      </c>
      <c r="H449" s="4">
        <v>143984917</v>
      </c>
      <c r="I449" s="4">
        <v>129293039</v>
      </c>
      <c r="J449" s="4">
        <v>133171295</v>
      </c>
      <c r="K449" s="4">
        <v>120438628</v>
      </c>
      <c r="L449" s="4">
        <v>129279293</v>
      </c>
      <c r="M449" s="6">
        <f>Table2[[#This Row],[2025]]/SUM(Table2[2025])</f>
        <v>8.1394175887417563E-6</v>
      </c>
      <c r="N449" s="4"/>
      <c r="O449" s="1" t="s">
        <v>440</v>
      </c>
      <c r="P449" s="1" t="s">
        <v>21</v>
      </c>
      <c r="Q449" s="1" t="s">
        <v>21</v>
      </c>
      <c r="R449" s="1" t="s">
        <v>21</v>
      </c>
      <c r="S449" s="1" t="s">
        <v>21</v>
      </c>
      <c r="T449" s="1" t="s">
        <v>21</v>
      </c>
      <c r="U449" s="1" t="s">
        <v>21</v>
      </c>
      <c r="V449" s="1" t="s">
        <v>21</v>
      </c>
      <c r="W449" s="4">
        <v>1110117758</v>
      </c>
      <c r="X449" s="4">
        <v>582045023</v>
      </c>
      <c r="Y449" s="4">
        <v>97801087</v>
      </c>
      <c r="Z449" s="4">
        <v>-324411413</v>
      </c>
    </row>
    <row r="450" spans="1:26" s="1" customFormat="1" ht="12.5" x14ac:dyDescent="0.25">
      <c r="A450" s="1" t="s">
        <v>47</v>
      </c>
      <c r="B450" s="4">
        <v>152184882</v>
      </c>
      <c r="C450" s="4">
        <v>33407712</v>
      </c>
      <c r="D450" s="4">
        <v>50551255</v>
      </c>
      <c r="E450" s="4">
        <v>51091775</v>
      </c>
      <c r="F450" s="4">
        <v>51451586</v>
      </c>
      <c r="G450" s="4">
        <v>51005481</v>
      </c>
      <c r="H450" s="4">
        <v>65134182</v>
      </c>
      <c r="I450" s="4">
        <v>66278917</v>
      </c>
      <c r="J450" s="4">
        <v>74521414</v>
      </c>
      <c r="K450" s="4">
        <v>89311089</v>
      </c>
      <c r="L450" s="4">
        <v>127283951</v>
      </c>
      <c r="M450" s="7">
        <f>Table2[[#This Row],[2025]]/SUM(Table2[2025])</f>
        <v>8.0137909598093486E-6</v>
      </c>
      <c r="O450" s="1" t="s">
        <v>441</v>
      </c>
      <c r="P450" s="1" t="s">
        <v>21</v>
      </c>
      <c r="Q450" s="1" t="s">
        <v>21</v>
      </c>
      <c r="R450" s="1" t="s">
        <v>21</v>
      </c>
      <c r="S450" s="1" t="s">
        <v>21</v>
      </c>
      <c r="T450" s="1" t="s">
        <v>21</v>
      </c>
      <c r="U450" s="1" t="s">
        <v>21</v>
      </c>
      <c r="V450" s="1" t="s">
        <v>21</v>
      </c>
      <c r="W450" s="4">
        <v>16563947493</v>
      </c>
      <c r="X450" s="1" t="s">
        <v>21</v>
      </c>
      <c r="Y450" s="1" t="s">
        <v>21</v>
      </c>
      <c r="Z450" s="1" t="s">
        <v>21</v>
      </c>
    </row>
    <row r="451" spans="1:26" s="1" customFormat="1" ht="12.5" x14ac:dyDescent="0.25">
      <c r="A451" s="1" t="s">
        <v>58</v>
      </c>
      <c r="B451" s="4">
        <v>259965020</v>
      </c>
      <c r="C451" s="4">
        <v>192775939</v>
      </c>
      <c r="D451" s="4">
        <v>47662933</v>
      </c>
      <c r="E451" s="4">
        <v>75985815</v>
      </c>
      <c r="F451" s="4">
        <v>89460397</v>
      </c>
      <c r="G451" s="4">
        <v>111643020</v>
      </c>
      <c r="H451" s="4">
        <v>126653389</v>
      </c>
      <c r="I451" s="4">
        <v>101983967</v>
      </c>
      <c r="J451" s="4">
        <v>120418429</v>
      </c>
      <c r="K451" s="4">
        <v>134553427</v>
      </c>
      <c r="L451" s="4">
        <v>126871803</v>
      </c>
      <c r="M451" s="6">
        <f>Table2[[#This Row],[2025]]/SUM(Table2[2025])</f>
        <v>7.9878421430845797E-6</v>
      </c>
      <c r="N451" s="4"/>
      <c r="O451" s="1" t="s">
        <v>442</v>
      </c>
      <c r="P451" s="1" t="s">
        <v>21</v>
      </c>
      <c r="Q451" s="1" t="s">
        <v>21</v>
      </c>
      <c r="R451" s="1" t="s">
        <v>21</v>
      </c>
      <c r="S451" s="1" t="s">
        <v>21</v>
      </c>
      <c r="T451" s="1" t="s">
        <v>21</v>
      </c>
      <c r="U451" s="1" t="s">
        <v>21</v>
      </c>
      <c r="V451" s="1" t="s">
        <v>21</v>
      </c>
      <c r="W451" s="4">
        <v>-708095</v>
      </c>
      <c r="X451" s="4">
        <v>723758494</v>
      </c>
      <c r="Y451" s="4">
        <v>4992507004</v>
      </c>
      <c r="Z451" s="4">
        <v>5895788540</v>
      </c>
    </row>
    <row r="452" spans="1:26" s="1" customFormat="1" ht="12.5" x14ac:dyDescent="0.25">
      <c r="A452" s="1" t="s">
        <v>397</v>
      </c>
      <c r="B452" s="1" t="s">
        <v>21</v>
      </c>
      <c r="C452" s="1" t="s">
        <v>21</v>
      </c>
      <c r="D452" s="1" t="s">
        <v>21</v>
      </c>
      <c r="E452" s="1" t="s">
        <v>21</v>
      </c>
      <c r="F452" s="1" t="s">
        <v>21</v>
      </c>
      <c r="G452" s="1" t="s">
        <v>21</v>
      </c>
      <c r="H452" s="1" t="s">
        <v>21</v>
      </c>
      <c r="I452" s="4">
        <v>19332604</v>
      </c>
      <c r="J452" s="4">
        <v>22222046</v>
      </c>
      <c r="K452" s="4">
        <v>32355207</v>
      </c>
      <c r="L452" s="4">
        <v>124256358</v>
      </c>
      <c r="M452" s="6">
        <f>Table2[[#This Row],[2025]]/SUM(Table2[2025])</f>
        <v>7.8231738614024794E-6</v>
      </c>
      <c r="N452" s="4"/>
      <c r="O452" s="1" t="s">
        <v>443</v>
      </c>
      <c r="P452" s="1" t="s">
        <v>21</v>
      </c>
      <c r="Q452" s="1" t="s">
        <v>21</v>
      </c>
      <c r="R452" s="1" t="s">
        <v>21</v>
      </c>
      <c r="S452" s="1" t="s">
        <v>21</v>
      </c>
      <c r="T452" s="1" t="s">
        <v>21</v>
      </c>
      <c r="U452" s="1" t="s">
        <v>21</v>
      </c>
      <c r="V452" s="1" t="s">
        <v>21</v>
      </c>
      <c r="W452" s="4">
        <v>21867379</v>
      </c>
      <c r="X452" s="4">
        <v>25336940</v>
      </c>
      <c r="Y452" s="4">
        <v>-54111117</v>
      </c>
      <c r="Z452" s="4">
        <v>9308576</v>
      </c>
    </row>
    <row r="453" spans="1:26" s="1" customFormat="1" ht="12.5" x14ac:dyDescent="0.25">
      <c r="A453" s="1" t="s">
        <v>463</v>
      </c>
      <c r="B453" s="1" t="s">
        <v>21</v>
      </c>
      <c r="C453" s="1" t="s">
        <v>21</v>
      </c>
      <c r="D453" s="1" t="s">
        <v>21</v>
      </c>
      <c r="E453" s="1" t="s">
        <v>21</v>
      </c>
      <c r="F453" s="1" t="s">
        <v>21</v>
      </c>
      <c r="G453" s="1" t="s">
        <v>21</v>
      </c>
      <c r="H453" s="1" t="s">
        <v>21</v>
      </c>
      <c r="I453" s="1" t="s">
        <v>21</v>
      </c>
      <c r="J453" s="1" t="s">
        <v>21</v>
      </c>
      <c r="K453" s="4">
        <v>69423680</v>
      </c>
      <c r="L453" s="4">
        <v>122939035</v>
      </c>
      <c r="M453" s="6">
        <f>Table2[[#This Row],[2025]]/SUM(Table2[2025])</f>
        <v>7.7402352735788737E-6</v>
      </c>
      <c r="N453" s="4"/>
      <c r="O453" s="1" t="s">
        <v>444</v>
      </c>
      <c r="P453" s="1" t="s">
        <v>21</v>
      </c>
      <c r="Q453" s="1" t="s">
        <v>21</v>
      </c>
      <c r="R453" s="1" t="s">
        <v>21</v>
      </c>
      <c r="S453" s="1" t="s">
        <v>21</v>
      </c>
      <c r="T453" s="1" t="s">
        <v>21</v>
      </c>
      <c r="U453" s="1" t="s">
        <v>21</v>
      </c>
      <c r="V453" s="1" t="s">
        <v>21</v>
      </c>
      <c r="W453" s="4">
        <v>397379366</v>
      </c>
      <c r="X453" s="4">
        <v>27918648</v>
      </c>
      <c r="Y453" s="4">
        <v>252105799</v>
      </c>
      <c r="Z453" s="4">
        <v>-51465630</v>
      </c>
    </row>
    <row r="454" spans="1:26" s="1" customFormat="1" ht="12.5" x14ac:dyDescent="0.25">
      <c r="A454" s="1" t="s">
        <v>430</v>
      </c>
      <c r="B454" s="1" t="s">
        <v>21</v>
      </c>
      <c r="C454" s="1" t="s">
        <v>21</v>
      </c>
      <c r="D454" s="1" t="s">
        <v>21</v>
      </c>
      <c r="E454" s="1" t="s">
        <v>21</v>
      </c>
      <c r="F454" s="1" t="s">
        <v>21</v>
      </c>
      <c r="G454" s="1" t="s">
        <v>21</v>
      </c>
      <c r="H454" s="1" t="s">
        <v>21</v>
      </c>
      <c r="I454" s="4">
        <v>13763529</v>
      </c>
      <c r="J454" s="4">
        <v>87197240</v>
      </c>
      <c r="K454" s="4">
        <v>102365421</v>
      </c>
      <c r="L454" s="4">
        <v>119465950</v>
      </c>
      <c r="M454" s="6">
        <f>Table2[[#This Row],[2025]]/SUM(Table2[2025])</f>
        <v>7.5215700219349386E-6</v>
      </c>
      <c r="N454" s="4"/>
      <c r="O454" s="1" t="s">
        <v>445</v>
      </c>
      <c r="P454" s="1" t="s">
        <v>21</v>
      </c>
      <c r="Q454" s="1" t="s">
        <v>21</v>
      </c>
      <c r="R454" s="1" t="s">
        <v>21</v>
      </c>
      <c r="S454" s="1" t="s">
        <v>21</v>
      </c>
      <c r="T454" s="1" t="s">
        <v>21</v>
      </c>
      <c r="U454" s="1" t="s">
        <v>21</v>
      </c>
      <c r="V454" s="1" t="s">
        <v>21</v>
      </c>
      <c r="W454" s="4">
        <v>1000042</v>
      </c>
      <c r="X454" s="4">
        <v>20125410</v>
      </c>
      <c r="Y454" s="4">
        <v>64929034</v>
      </c>
      <c r="Z454" s="4">
        <v>9746872</v>
      </c>
    </row>
    <row r="455" spans="1:26" s="1" customFormat="1" ht="12.5" x14ac:dyDescent="0.25">
      <c r="A455" s="1" t="s">
        <v>445</v>
      </c>
      <c r="B455" s="1" t="s">
        <v>21</v>
      </c>
      <c r="C455" s="1" t="s">
        <v>21</v>
      </c>
      <c r="D455" s="1" t="s">
        <v>21</v>
      </c>
      <c r="E455" s="1" t="s">
        <v>21</v>
      </c>
      <c r="F455" s="1" t="s">
        <v>21</v>
      </c>
      <c r="G455" s="1" t="s">
        <v>21</v>
      </c>
      <c r="H455" s="1" t="s">
        <v>21</v>
      </c>
      <c r="I455" s="4">
        <v>1000042</v>
      </c>
      <c r="J455" s="4">
        <v>23530060</v>
      </c>
      <c r="K455" s="4">
        <v>93376495</v>
      </c>
      <c r="L455" s="4">
        <v>115320587</v>
      </c>
      <c r="M455" s="6">
        <f>Table2[[#This Row],[2025]]/SUM(Table2[2025])</f>
        <v>7.2605781822447309E-6</v>
      </c>
      <c r="N455" s="4"/>
      <c r="O455" s="1" t="s">
        <v>446</v>
      </c>
      <c r="P455" s="1" t="s">
        <v>21</v>
      </c>
      <c r="Q455" s="1" t="s">
        <v>21</v>
      </c>
      <c r="R455" s="1" t="s">
        <v>21</v>
      </c>
      <c r="S455" s="1" t="s">
        <v>21</v>
      </c>
      <c r="T455" s="1" t="s">
        <v>21</v>
      </c>
      <c r="U455" s="1" t="s">
        <v>21</v>
      </c>
      <c r="V455" s="1" t="s">
        <v>21</v>
      </c>
      <c r="W455" s="4">
        <v>209181939</v>
      </c>
      <c r="X455" s="4">
        <v>672325396</v>
      </c>
      <c r="Y455" s="4">
        <v>-83167001</v>
      </c>
      <c r="Z455" s="4">
        <v>552002263</v>
      </c>
    </row>
    <row r="456" spans="1:26" s="1" customFormat="1" ht="12.5" x14ac:dyDescent="0.25">
      <c r="A456" s="1" t="s">
        <v>54</v>
      </c>
      <c r="B456" s="4">
        <v>233576498</v>
      </c>
      <c r="C456" s="4">
        <v>216372307</v>
      </c>
      <c r="D456" s="4">
        <v>188689995</v>
      </c>
      <c r="E456" s="4">
        <v>156704387</v>
      </c>
      <c r="F456" s="4">
        <v>152958102</v>
      </c>
      <c r="G456" s="4">
        <v>141774710</v>
      </c>
      <c r="H456" s="4">
        <v>139242000</v>
      </c>
      <c r="I456" s="4">
        <v>134201189</v>
      </c>
      <c r="J456" s="4">
        <v>142572684</v>
      </c>
      <c r="K456" s="4">
        <v>138446573</v>
      </c>
      <c r="L456" s="4">
        <v>114616215</v>
      </c>
      <c r="M456" s="6">
        <f>Table2[[#This Row],[2025]]/SUM(Table2[2025])</f>
        <v>7.2162309576213944E-6</v>
      </c>
      <c r="N456" s="4"/>
      <c r="O456" s="1" t="s">
        <v>447</v>
      </c>
      <c r="P456" s="1" t="s">
        <v>21</v>
      </c>
      <c r="Q456" s="1" t="s">
        <v>21</v>
      </c>
      <c r="R456" s="1" t="s">
        <v>21</v>
      </c>
      <c r="S456" s="1" t="s">
        <v>21</v>
      </c>
      <c r="T456" s="1" t="s">
        <v>21</v>
      </c>
      <c r="U456" s="1" t="s">
        <v>21</v>
      </c>
      <c r="V456" s="1" t="s">
        <v>21</v>
      </c>
      <c r="W456" s="4">
        <v>859197862</v>
      </c>
      <c r="X456" s="4">
        <v>2589320293</v>
      </c>
      <c r="Y456" s="4">
        <v>1381868244</v>
      </c>
      <c r="Z456" s="4">
        <v>1640103967</v>
      </c>
    </row>
    <row r="457" spans="1:26" s="1" customFormat="1" ht="12.5" x14ac:dyDescent="0.25">
      <c r="A457" s="1" t="s">
        <v>305</v>
      </c>
      <c r="B457" s="1" t="s">
        <v>21</v>
      </c>
      <c r="C457" s="4">
        <v>158164426</v>
      </c>
      <c r="D457" s="4">
        <v>151066709</v>
      </c>
      <c r="E457" s="4">
        <v>113055892</v>
      </c>
      <c r="F457" s="4">
        <v>64513926</v>
      </c>
      <c r="G457" s="4">
        <v>59288942</v>
      </c>
      <c r="H457" s="4">
        <v>67373166</v>
      </c>
      <c r="I457" s="4">
        <v>57164598</v>
      </c>
      <c r="J457" s="4">
        <v>60711258</v>
      </c>
      <c r="K457" s="4">
        <v>85073598</v>
      </c>
      <c r="L457" s="4">
        <v>113115818</v>
      </c>
      <c r="M457" s="6">
        <f>Table2[[#This Row],[2025]]/SUM(Table2[2025])</f>
        <v>7.1217660402436717E-6</v>
      </c>
      <c r="N457" s="4"/>
      <c r="O457" s="1" t="s">
        <v>448</v>
      </c>
      <c r="P457" s="1" t="s">
        <v>21</v>
      </c>
      <c r="Q457" s="1" t="s">
        <v>21</v>
      </c>
      <c r="R457" s="1" t="s">
        <v>21</v>
      </c>
      <c r="S457" s="1" t="s">
        <v>21</v>
      </c>
      <c r="T457" s="1" t="s">
        <v>21</v>
      </c>
      <c r="U457" s="1" t="s">
        <v>21</v>
      </c>
      <c r="V457" s="1" t="s">
        <v>21</v>
      </c>
      <c r="W457" s="4">
        <v>213854063</v>
      </c>
      <c r="X457" s="4">
        <v>107271802</v>
      </c>
      <c r="Y457" s="4">
        <v>218829409</v>
      </c>
      <c r="Z457" s="4">
        <v>117835918</v>
      </c>
    </row>
    <row r="458" spans="1:26" s="1" customFormat="1" ht="12.5" x14ac:dyDescent="0.25">
      <c r="A458" s="1" t="s">
        <v>333</v>
      </c>
      <c r="B458" s="1" t="s">
        <v>21</v>
      </c>
      <c r="C458" s="1" t="s">
        <v>21</v>
      </c>
      <c r="D458" s="4">
        <v>55604474</v>
      </c>
      <c r="E458" s="4">
        <v>42453966</v>
      </c>
      <c r="F458" s="4">
        <v>86382837</v>
      </c>
      <c r="G458" s="4">
        <v>111127797</v>
      </c>
      <c r="H458" s="4">
        <v>146307876</v>
      </c>
      <c r="I458" s="4">
        <v>135712681</v>
      </c>
      <c r="J458" s="4">
        <v>95111577</v>
      </c>
      <c r="K458" s="4">
        <v>85659628</v>
      </c>
      <c r="L458" s="4">
        <v>112956083</v>
      </c>
      <c r="M458" s="6">
        <f>Table2[[#This Row],[2025]]/SUM(Table2[2025])</f>
        <v>7.1117091329202561E-6</v>
      </c>
      <c r="N458" s="4"/>
      <c r="O458" s="1" t="s">
        <v>449</v>
      </c>
      <c r="P458" s="1" t="s">
        <v>21</v>
      </c>
      <c r="Q458" s="1" t="s">
        <v>21</v>
      </c>
      <c r="R458" s="1" t="s">
        <v>21</v>
      </c>
      <c r="S458" s="1" t="s">
        <v>21</v>
      </c>
      <c r="T458" s="1" t="s">
        <v>21</v>
      </c>
      <c r="U458" s="1" t="s">
        <v>21</v>
      </c>
      <c r="V458" s="1" t="s">
        <v>21</v>
      </c>
      <c r="W458" s="4">
        <v>547496394</v>
      </c>
      <c r="X458" s="4">
        <v>424149299</v>
      </c>
      <c r="Y458" s="4">
        <v>234770145</v>
      </c>
      <c r="Z458" s="4">
        <v>354148882</v>
      </c>
    </row>
    <row r="459" spans="1:26" s="1" customFormat="1" ht="12.5" x14ac:dyDescent="0.25">
      <c r="A459" s="1" t="s">
        <v>367</v>
      </c>
      <c r="B459" s="1" t="s">
        <v>21</v>
      </c>
      <c r="C459" s="1" t="s">
        <v>21</v>
      </c>
      <c r="D459" s="1" t="s">
        <v>21</v>
      </c>
      <c r="E459" s="1" t="s">
        <v>21</v>
      </c>
      <c r="F459" s="4">
        <v>1707882</v>
      </c>
      <c r="G459" s="4">
        <v>140497191</v>
      </c>
      <c r="H459" s="4">
        <v>95983714</v>
      </c>
      <c r="I459" s="4">
        <v>83870881</v>
      </c>
      <c r="J459" s="4">
        <v>68608600</v>
      </c>
      <c r="K459" s="4">
        <v>76939901</v>
      </c>
      <c r="L459" s="4">
        <v>108094260</v>
      </c>
      <c r="M459" s="6">
        <f>Table2[[#This Row],[2025]]/SUM(Table2[2025])</f>
        <v>6.8056090087530455E-6</v>
      </c>
      <c r="N459" s="4"/>
      <c r="O459" s="1" t="s">
        <v>450</v>
      </c>
      <c r="P459" s="1" t="s">
        <v>21</v>
      </c>
      <c r="Q459" s="1" t="s">
        <v>21</v>
      </c>
      <c r="R459" s="1" t="s">
        <v>21</v>
      </c>
      <c r="S459" s="1" t="s">
        <v>21</v>
      </c>
      <c r="T459" s="1" t="s">
        <v>21</v>
      </c>
      <c r="U459" s="1" t="s">
        <v>21</v>
      </c>
      <c r="V459" s="1" t="s">
        <v>21</v>
      </c>
      <c r="W459" s="1" t="s">
        <v>21</v>
      </c>
      <c r="X459" s="4">
        <v>950236831</v>
      </c>
      <c r="Y459" s="4">
        <v>-89196686</v>
      </c>
      <c r="Z459" s="4">
        <v>-151104889</v>
      </c>
    </row>
    <row r="460" spans="1:26" s="1" customFormat="1" ht="12.5" x14ac:dyDescent="0.25">
      <c r="A460" s="1" t="s">
        <v>469</v>
      </c>
      <c r="B460" s="1" t="s">
        <v>21</v>
      </c>
      <c r="C460" s="1" t="s">
        <v>21</v>
      </c>
      <c r="D460" s="1" t="s">
        <v>21</v>
      </c>
      <c r="E460" s="1" t="s">
        <v>21</v>
      </c>
      <c r="F460" s="1" t="s">
        <v>21</v>
      </c>
      <c r="G460" s="1" t="s">
        <v>21</v>
      </c>
      <c r="H460" s="1" t="s">
        <v>21</v>
      </c>
      <c r="I460" s="1" t="s">
        <v>21</v>
      </c>
      <c r="J460" s="1" t="s">
        <v>21</v>
      </c>
      <c r="K460" s="4">
        <v>81508008</v>
      </c>
      <c r="L460" s="4">
        <v>90320478</v>
      </c>
      <c r="M460" s="6">
        <f>Table2[[#This Row],[2025]]/SUM(Table2[2025])</f>
        <v>5.6865726149721667E-6</v>
      </c>
      <c r="N460" s="4"/>
      <c r="O460" s="1" t="s">
        <v>451</v>
      </c>
      <c r="P460" s="1" t="s">
        <v>21</v>
      </c>
      <c r="Q460" s="1" t="s">
        <v>21</v>
      </c>
      <c r="R460" s="1" t="s">
        <v>21</v>
      </c>
      <c r="S460" s="1" t="s">
        <v>21</v>
      </c>
      <c r="T460" s="1" t="s">
        <v>21</v>
      </c>
      <c r="U460" s="1" t="s">
        <v>21</v>
      </c>
      <c r="V460" s="1" t="s">
        <v>21</v>
      </c>
      <c r="W460" s="1" t="s">
        <v>21</v>
      </c>
      <c r="X460" s="4">
        <v>708491966</v>
      </c>
      <c r="Y460" s="4">
        <v>80002255</v>
      </c>
      <c r="Z460" s="4">
        <v>102995589</v>
      </c>
    </row>
    <row r="461" spans="1:26" s="1" customFormat="1" ht="12.5" x14ac:dyDescent="0.25">
      <c r="A461" s="1" t="s">
        <v>456</v>
      </c>
      <c r="B461" s="1" t="s">
        <v>21</v>
      </c>
      <c r="C461" s="1" t="s">
        <v>21</v>
      </c>
      <c r="D461" s="1" t="s">
        <v>21</v>
      </c>
      <c r="E461" s="1" t="s">
        <v>21</v>
      </c>
      <c r="F461" s="1" t="s">
        <v>21</v>
      </c>
      <c r="G461" s="1" t="s">
        <v>21</v>
      </c>
      <c r="H461" s="1" t="s">
        <v>21</v>
      </c>
      <c r="I461" s="1" t="s">
        <v>21</v>
      </c>
      <c r="J461" s="4">
        <v>38451615</v>
      </c>
      <c r="K461" s="4">
        <v>64023516</v>
      </c>
      <c r="L461" s="4">
        <v>88560605</v>
      </c>
      <c r="M461" s="6">
        <f>Table2[[#This Row],[2025]]/SUM(Table2[2025])</f>
        <v>5.5757711020790557E-6</v>
      </c>
      <c r="N461" s="4"/>
      <c r="O461" s="1" t="s">
        <v>452</v>
      </c>
      <c r="P461" s="1" t="s">
        <v>21</v>
      </c>
      <c r="Q461" s="1" t="s">
        <v>21</v>
      </c>
      <c r="R461" s="1" t="s">
        <v>21</v>
      </c>
      <c r="S461" s="1" t="s">
        <v>21</v>
      </c>
      <c r="T461" s="1" t="s">
        <v>21</v>
      </c>
      <c r="U461" s="1" t="s">
        <v>21</v>
      </c>
      <c r="V461" s="1" t="s">
        <v>21</v>
      </c>
      <c r="W461" s="1" t="s">
        <v>21</v>
      </c>
      <c r="X461" s="4">
        <v>156660609</v>
      </c>
      <c r="Y461" s="4">
        <v>57881886</v>
      </c>
      <c r="Z461" s="4">
        <v>56534642</v>
      </c>
    </row>
    <row r="462" spans="1:26" s="1" customFormat="1" ht="12.5" x14ac:dyDescent="0.25">
      <c r="A462" s="1" t="s">
        <v>466</v>
      </c>
      <c r="B462" s="1" t="s">
        <v>21</v>
      </c>
      <c r="C462" s="1" t="s">
        <v>21</v>
      </c>
      <c r="D462" s="1" t="s">
        <v>21</v>
      </c>
      <c r="E462" s="1" t="s">
        <v>21</v>
      </c>
      <c r="F462" s="1" t="s">
        <v>21</v>
      </c>
      <c r="G462" s="1" t="s">
        <v>21</v>
      </c>
      <c r="H462" s="1" t="s">
        <v>21</v>
      </c>
      <c r="I462" s="1" t="s">
        <v>21</v>
      </c>
      <c r="J462" s="1" t="s">
        <v>21</v>
      </c>
      <c r="K462" s="4">
        <v>30000195</v>
      </c>
      <c r="L462" s="4">
        <v>84318234</v>
      </c>
      <c r="M462" s="6">
        <f>Table2[[#This Row],[2025]]/SUM(Table2[2025])</f>
        <v>5.3086716437352672E-6</v>
      </c>
      <c r="N462" s="4"/>
      <c r="O462" s="1" t="s">
        <v>453</v>
      </c>
      <c r="P462" s="1" t="s">
        <v>21</v>
      </c>
      <c r="Q462" s="1" t="s">
        <v>21</v>
      </c>
      <c r="R462" s="1" t="s">
        <v>21</v>
      </c>
      <c r="S462" s="1" t="s">
        <v>21</v>
      </c>
      <c r="T462" s="1" t="s">
        <v>21</v>
      </c>
      <c r="U462" s="1" t="s">
        <v>21</v>
      </c>
      <c r="V462" s="1" t="s">
        <v>21</v>
      </c>
      <c r="W462" s="1" t="s">
        <v>21</v>
      </c>
      <c r="X462" s="4">
        <v>275889361</v>
      </c>
      <c r="Y462" s="4">
        <v>295702957</v>
      </c>
      <c r="Z462" s="4">
        <v>31851266</v>
      </c>
    </row>
    <row r="463" spans="1:26" s="1" customFormat="1" ht="12.5" x14ac:dyDescent="0.25">
      <c r="A463" s="1" t="s">
        <v>21</v>
      </c>
      <c r="B463" s="1" t="s">
        <v>21</v>
      </c>
      <c r="C463" s="1" t="s">
        <v>21</v>
      </c>
      <c r="D463" s="1" t="s">
        <v>21</v>
      </c>
      <c r="E463" s="1" t="s">
        <v>21</v>
      </c>
      <c r="F463" s="1" t="s">
        <v>21</v>
      </c>
      <c r="G463" s="1" t="s">
        <v>21</v>
      </c>
      <c r="H463" s="1" t="s">
        <v>21</v>
      </c>
      <c r="I463" s="1" t="s">
        <v>21</v>
      </c>
      <c r="J463" s="1" t="s">
        <v>21</v>
      </c>
      <c r="K463" s="1" t="s">
        <v>21</v>
      </c>
      <c r="L463" s="4">
        <v>79253556</v>
      </c>
      <c r="M463" s="6">
        <f>Table2[[#This Row],[2025]]/SUM(Table2[2025])</f>
        <v>4.9897997792788816E-6</v>
      </c>
      <c r="N463" s="4"/>
      <c r="O463" s="1" t="s">
        <v>454</v>
      </c>
      <c r="P463" s="1" t="s">
        <v>21</v>
      </c>
      <c r="Q463" s="1" t="s">
        <v>21</v>
      </c>
      <c r="R463" s="1" t="s">
        <v>21</v>
      </c>
      <c r="S463" s="1" t="s">
        <v>21</v>
      </c>
      <c r="T463" s="1" t="s">
        <v>21</v>
      </c>
      <c r="U463" s="1" t="s">
        <v>21</v>
      </c>
      <c r="V463" s="1" t="s">
        <v>21</v>
      </c>
      <c r="W463" s="1" t="s">
        <v>21</v>
      </c>
      <c r="X463" s="4">
        <v>142533081</v>
      </c>
      <c r="Y463" s="4">
        <v>37710146</v>
      </c>
      <c r="Z463" s="4">
        <v>27483946</v>
      </c>
    </row>
    <row r="464" spans="1:26" s="1" customFormat="1" ht="12.5" x14ac:dyDescent="0.25">
      <c r="A464" s="1" t="s">
        <v>413</v>
      </c>
      <c r="B464" s="1" t="s">
        <v>21</v>
      </c>
      <c r="C464" s="1" t="s">
        <v>21</v>
      </c>
      <c r="D464" s="1" t="s">
        <v>21</v>
      </c>
      <c r="E464" s="1" t="s">
        <v>21</v>
      </c>
      <c r="F464" s="1" t="s">
        <v>21</v>
      </c>
      <c r="G464" s="1" t="s">
        <v>21</v>
      </c>
      <c r="H464" s="4">
        <v>75939683</v>
      </c>
      <c r="I464" s="4">
        <v>129140117</v>
      </c>
      <c r="J464" s="4">
        <v>109670723</v>
      </c>
      <c r="K464" s="4">
        <v>109668526</v>
      </c>
      <c r="L464" s="4">
        <v>77670387</v>
      </c>
      <c r="M464" s="6">
        <f>Table2[[#This Row],[2025]]/SUM(Table2[2025])</f>
        <v>4.890123541069946E-6</v>
      </c>
      <c r="N464" s="4"/>
      <c r="O464" s="1" t="s">
        <v>455</v>
      </c>
      <c r="P464" s="1" t="s">
        <v>21</v>
      </c>
      <c r="Q464" s="1" t="s">
        <v>21</v>
      </c>
      <c r="R464" s="1" t="s">
        <v>21</v>
      </c>
      <c r="S464" s="1" t="s">
        <v>21</v>
      </c>
      <c r="T464" s="1" t="s">
        <v>21</v>
      </c>
      <c r="U464" s="1" t="s">
        <v>21</v>
      </c>
      <c r="V464" s="1" t="s">
        <v>21</v>
      </c>
      <c r="W464" s="1" t="s">
        <v>21</v>
      </c>
      <c r="X464" s="4">
        <v>2365881</v>
      </c>
      <c r="Y464" s="4">
        <v>2325036</v>
      </c>
      <c r="Z464" s="4">
        <v>28202845</v>
      </c>
    </row>
    <row r="465" spans="1:26" s="1" customFormat="1" ht="12.5" x14ac:dyDescent="0.25">
      <c r="A465" s="1" t="s">
        <v>393</v>
      </c>
      <c r="B465" s="1" t="s">
        <v>21</v>
      </c>
      <c r="C465" s="1" t="s">
        <v>21</v>
      </c>
      <c r="D465" s="1" t="s">
        <v>21</v>
      </c>
      <c r="E465" s="1" t="s">
        <v>21</v>
      </c>
      <c r="F465" s="1" t="s">
        <v>21</v>
      </c>
      <c r="G465" s="4">
        <v>113749012</v>
      </c>
      <c r="H465" s="4">
        <v>328898144</v>
      </c>
      <c r="I465" s="4">
        <v>245280545</v>
      </c>
      <c r="J465" s="4">
        <v>235013587</v>
      </c>
      <c r="K465" s="4">
        <v>164235771</v>
      </c>
      <c r="L465" s="4">
        <v>76504630</v>
      </c>
      <c r="M465" s="6">
        <f>Table2[[#This Row],[2025]]/SUM(Table2[2025])</f>
        <v>4.8167275407530287E-6</v>
      </c>
      <c r="N465" s="4"/>
      <c r="O465" s="1" t="s">
        <v>456</v>
      </c>
      <c r="P465" s="1" t="s">
        <v>21</v>
      </c>
      <c r="Q465" s="1" t="s">
        <v>21</v>
      </c>
      <c r="R465" s="1" t="s">
        <v>21</v>
      </c>
      <c r="S465" s="1" t="s">
        <v>21</v>
      </c>
      <c r="T465" s="1" t="s">
        <v>21</v>
      </c>
      <c r="U465" s="1" t="s">
        <v>21</v>
      </c>
      <c r="V465" s="1" t="s">
        <v>21</v>
      </c>
      <c r="W465" s="1" t="s">
        <v>21</v>
      </c>
      <c r="X465" s="4">
        <v>36158401</v>
      </c>
      <c r="Y465" s="4">
        <v>20629397</v>
      </c>
      <c r="Z465" s="4">
        <v>-74192</v>
      </c>
    </row>
    <row r="466" spans="1:26" s="1" customFormat="1" ht="12.5" x14ac:dyDescent="0.25">
      <c r="A466" s="1" t="s">
        <v>386</v>
      </c>
      <c r="B466" s="1" t="s">
        <v>21</v>
      </c>
      <c r="C466" s="1" t="s">
        <v>21</v>
      </c>
      <c r="D466" s="1" t="s">
        <v>21</v>
      </c>
      <c r="E466" s="1" t="s">
        <v>21</v>
      </c>
      <c r="F466" s="1" t="s">
        <v>21</v>
      </c>
      <c r="G466" s="4">
        <v>33773826</v>
      </c>
      <c r="H466" s="4">
        <v>88414032</v>
      </c>
      <c r="I466" s="4">
        <v>61560995</v>
      </c>
      <c r="J466" s="4">
        <v>70092012</v>
      </c>
      <c r="K466" s="4">
        <v>75640009</v>
      </c>
      <c r="L466" s="4">
        <v>64392212</v>
      </c>
      <c r="M466" s="7">
        <f>Table2[[#This Row],[2025]]/SUM(Table2[2025])</f>
        <v>4.0541303310715665E-6</v>
      </c>
      <c r="O466" s="1" t="s">
        <v>457</v>
      </c>
      <c r="P466" s="1" t="s">
        <v>21</v>
      </c>
      <c r="Q466" s="1" t="s">
        <v>21</v>
      </c>
      <c r="R466" s="1" t="s">
        <v>21</v>
      </c>
      <c r="S466" s="1" t="s">
        <v>21</v>
      </c>
      <c r="T466" s="1" t="s">
        <v>21</v>
      </c>
      <c r="U466" s="1" t="s">
        <v>21</v>
      </c>
      <c r="V466" s="1" t="s">
        <v>21</v>
      </c>
      <c r="W466" s="1" t="s">
        <v>21</v>
      </c>
      <c r="X466" s="4">
        <v>971808</v>
      </c>
      <c r="Y466" s="4">
        <v>620462</v>
      </c>
      <c r="Z466" s="4">
        <v>873342</v>
      </c>
    </row>
    <row r="467" spans="1:26" s="1" customFormat="1" ht="12.5" x14ac:dyDescent="0.25">
      <c r="A467" s="1" t="s">
        <v>24</v>
      </c>
      <c r="B467" s="4">
        <v>17102522</v>
      </c>
      <c r="C467" s="4">
        <v>17594393</v>
      </c>
      <c r="D467" s="4">
        <v>15511467</v>
      </c>
      <c r="E467" s="4">
        <v>11625012</v>
      </c>
      <c r="F467" s="4">
        <v>33231638</v>
      </c>
      <c r="G467" s="4">
        <v>27138521</v>
      </c>
      <c r="H467" s="4">
        <v>35910621</v>
      </c>
      <c r="I467" s="4">
        <v>33744340</v>
      </c>
      <c r="J467" s="4">
        <v>47923253</v>
      </c>
      <c r="K467" s="4">
        <v>63772400</v>
      </c>
      <c r="L467" s="4">
        <v>61368658</v>
      </c>
      <c r="M467" s="6">
        <f>Table2[[#This Row],[2025]]/SUM(Table2[2025])</f>
        <v>3.8637675278954187E-6</v>
      </c>
      <c r="N467" s="4"/>
      <c r="O467" s="1" t="s">
        <v>458</v>
      </c>
      <c r="P467" s="1" t="s">
        <v>21</v>
      </c>
      <c r="Q467" s="1" t="s">
        <v>21</v>
      </c>
      <c r="R467" s="1" t="s">
        <v>21</v>
      </c>
      <c r="S467" s="1" t="s">
        <v>21</v>
      </c>
      <c r="T467" s="1" t="s">
        <v>21</v>
      </c>
      <c r="U467" s="1" t="s">
        <v>21</v>
      </c>
      <c r="V467" s="1" t="s">
        <v>21</v>
      </c>
      <c r="W467" s="1" t="s">
        <v>21</v>
      </c>
      <c r="X467" s="4">
        <v>330360644</v>
      </c>
      <c r="Y467" s="4">
        <v>201333027</v>
      </c>
      <c r="Z467" s="4">
        <v>179353301</v>
      </c>
    </row>
    <row r="468" spans="1:26" s="1" customFormat="1" ht="12.5" x14ac:dyDescent="0.25">
      <c r="A468" s="1" t="s">
        <v>388</v>
      </c>
      <c r="B468" s="1" t="s">
        <v>21</v>
      </c>
      <c r="C468" s="1" t="s">
        <v>21</v>
      </c>
      <c r="D468" s="1" t="s">
        <v>21</v>
      </c>
      <c r="E468" s="1" t="s">
        <v>21</v>
      </c>
      <c r="F468" s="1" t="s">
        <v>21</v>
      </c>
      <c r="G468" s="4">
        <v>4044002</v>
      </c>
      <c r="H468" s="4">
        <v>8817978</v>
      </c>
      <c r="I468" s="4">
        <v>13167924</v>
      </c>
      <c r="J468" s="4">
        <v>25149956</v>
      </c>
      <c r="K468" s="4">
        <v>41786594</v>
      </c>
      <c r="L468" s="4">
        <v>60770836</v>
      </c>
      <c r="M468" s="6">
        <f>Table2[[#This Row],[2025]]/SUM(Table2[2025])</f>
        <v>3.8261286857512499E-6</v>
      </c>
      <c r="N468" s="4"/>
      <c r="O468" s="1" t="s">
        <v>459</v>
      </c>
      <c r="P468" s="1" t="s">
        <v>21</v>
      </c>
      <c r="Q468" s="1" t="s">
        <v>21</v>
      </c>
      <c r="R468" s="1" t="s">
        <v>21</v>
      </c>
      <c r="S468" s="1" t="s">
        <v>21</v>
      </c>
      <c r="T468" s="1" t="s">
        <v>21</v>
      </c>
      <c r="U468" s="1" t="s">
        <v>21</v>
      </c>
      <c r="V468" s="1" t="s">
        <v>21</v>
      </c>
      <c r="W468" s="1" t="s">
        <v>21</v>
      </c>
      <c r="X468" s="4">
        <v>247487276</v>
      </c>
      <c r="Y468" s="4">
        <v>-40272285</v>
      </c>
      <c r="Z468" s="4">
        <v>-240436951</v>
      </c>
    </row>
    <row r="469" spans="1:26" s="1" customFormat="1" ht="12.5" x14ac:dyDescent="0.25">
      <c r="A469" s="1" t="s">
        <v>27</v>
      </c>
      <c r="B469" s="4">
        <v>38281320</v>
      </c>
      <c r="C469" s="4">
        <v>74976928</v>
      </c>
      <c r="D469" s="4">
        <v>75570216</v>
      </c>
      <c r="E469" s="4">
        <v>49095571</v>
      </c>
      <c r="F469" s="4">
        <v>53360774</v>
      </c>
      <c r="G469" s="4">
        <v>68076953</v>
      </c>
      <c r="H469" s="4">
        <v>57807405</v>
      </c>
      <c r="I469" s="4">
        <v>63674966</v>
      </c>
      <c r="J469" s="4">
        <v>38852283</v>
      </c>
      <c r="K469" s="4">
        <v>36869363</v>
      </c>
      <c r="L469" s="4">
        <v>58253840</v>
      </c>
      <c r="M469" s="6">
        <f>Table2[[#This Row],[2025]]/SUM(Table2[2025])</f>
        <v>3.6676587480080675E-6</v>
      </c>
      <c r="N469" s="4"/>
      <c r="O469" s="1" t="s">
        <v>460</v>
      </c>
      <c r="P469" s="1" t="s">
        <v>21</v>
      </c>
      <c r="Q469" s="1" t="s">
        <v>21</v>
      </c>
      <c r="R469" s="1" t="s">
        <v>21</v>
      </c>
      <c r="S469" s="1" t="s">
        <v>21</v>
      </c>
      <c r="T469" s="1" t="s">
        <v>21</v>
      </c>
      <c r="U469" s="1" t="s">
        <v>21</v>
      </c>
      <c r="V469" s="1" t="s">
        <v>21</v>
      </c>
      <c r="W469" s="1" t="s">
        <v>21</v>
      </c>
      <c r="X469" s="1" t="s">
        <v>21</v>
      </c>
      <c r="Y469" s="4">
        <v>2404921393</v>
      </c>
      <c r="Z469" s="4">
        <v>914108389</v>
      </c>
    </row>
    <row r="470" spans="1:26" s="1" customFormat="1" ht="12.5" x14ac:dyDescent="0.25">
      <c r="A470" s="1" t="s">
        <v>495</v>
      </c>
      <c r="B470" s="1" t="s">
        <v>21</v>
      </c>
      <c r="C470" s="1" t="s">
        <v>21</v>
      </c>
      <c r="D470" s="1" t="s">
        <v>21</v>
      </c>
      <c r="E470" s="1" t="s">
        <v>21</v>
      </c>
      <c r="F470" s="1" t="s">
        <v>21</v>
      </c>
      <c r="G470" s="1" t="s">
        <v>21</v>
      </c>
      <c r="H470" s="1" t="s">
        <v>21</v>
      </c>
      <c r="I470" s="1" t="s">
        <v>21</v>
      </c>
      <c r="J470" s="1" t="s">
        <v>21</v>
      </c>
      <c r="K470" s="1" t="s">
        <v>21</v>
      </c>
      <c r="L470" s="4">
        <v>52565430</v>
      </c>
      <c r="M470" s="6">
        <f>Table2[[#This Row],[2025]]/SUM(Table2[2025])</f>
        <v>3.3095167491500251E-6</v>
      </c>
      <c r="N470" s="4"/>
      <c r="O470" s="1" t="s">
        <v>461</v>
      </c>
      <c r="P470" s="1" t="s">
        <v>21</v>
      </c>
      <c r="Q470" s="1" t="s">
        <v>21</v>
      </c>
      <c r="R470" s="1" t="s">
        <v>21</v>
      </c>
      <c r="S470" s="1" t="s">
        <v>21</v>
      </c>
      <c r="T470" s="1" t="s">
        <v>21</v>
      </c>
      <c r="U470" s="1" t="s">
        <v>21</v>
      </c>
      <c r="V470" s="1" t="s">
        <v>21</v>
      </c>
      <c r="W470" s="1" t="s">
        <v>21</v>
      </c>
      <c r="X470" s="1" t="s">
        <v>21</v>
      </c>
      <c r="Y470" s="1" t="s">
        <v>21</v>
      </c>
      <c r="Z470" s="4">
        <v>2087935037</v>
      </c>
    </row>
    <row r="471" spans="1:26" s="1" customFormat="1" ht="12.5" x14ac:dyDescent="0.25">
      <c r="A471" s="1" t="s">
        <v>474</v>
      </c>
      <c r="B471" s="1" t="s">
        <v>21</v>
      </c>
      <c r="C471" s="1" t="s">
        <v>21</v>
      </c>
      <c r="D471" s="1" t="s">
        <v>21</v>
      </c>
      <c r="E471" s="1" t="s">
        <v>21</v>
      </c>
      <c r="F471" s="1" t="s">
        <v>21</v>
      </c>
      <c r="G471" s="1" t="s">
        <v>21</v>
      </c>
      <c r="H471" s="1" t="s">
        <v>21</v>
      </c>
      <c r="I471" s="1" t="s">
        <v>21</v>
      </c>
      <c r="J471" s="1" t="s">
        <v>21</v>
      </c>
      <c r="K471" s="1" t="s">
        <v>21</v>
      </c>
      <c r="L471" s="4">
        <v>52266798</v>
      </c>
      <c r="M471" s="6">
        <f>Table2[[#This Row],[2025]]/SUM(Table2[2025])</f>
        <v>3.2907148939034845E-6</v>
      </c>
      <c r="N471" s="4"/>
      <c r="O471" s="1" t="s">
        <v>462</v>
      </c>
      <c r="P471" s="1" t="s">
        <v>21</v>
      </c>
      <c r="Q471" s="1" t="s">
        <v>21</v>
      </c>
      <c r="R471" s="1" t="s">
        <v>21</v>
      </c>
      <c r="S471" s="1" t="s">
        <v>21</v>
      </c>
      <c r="T471" s="1" t="s">
        <v>21</v>
      </c>
      <c r="U471" s="1" t="s">
        <v>21</v>
      </c>
      <c r="V471" s="1" t="s">
        <v>21</v>
      </c>
      <c r="W471" s="1" t="s">
        <v>21</v>
      </c>
      <c r="X471" s="1" t="s">
        <v>21</v>
      </c>
      <c r="Y471" s="4">
        <v>610242578</v>
      </c>
      <c r="Z471" s="4">
        <v>760848322</v>
      </c>
    </row>
    <row r="472" spans="1:26" s="1" customFormat="1" ht="12.5" x14ac:dyDescent="0.25">
      <c r="A472" s="1" t="s">
        <v>506</v>
      </c>
      <c r="B472" s="1" t="s">
        <v>21</v>
      </c>
      <c r="C472" s="1" t="s">
        <v>21</v>
      </c>
      <c r="D472" s="1" t="s">
        <v>21</v>
      </c>
      <c r="E472" s="1" t="s">
        <v>21</v>
      </c>
      <c r="F472" s="1" t="s">
        <v>21</v>
      </c>
      <c r="G472" s="1" t="s">
        <v>21</v>
      </c>
      <c r="H472" s="1" t="s">
        <v>21</v>
      </c>
      <c r="I472" s="1" t="s">
        <v>21</v>
      </c>
      <c r="J472" s="1" t="s">
        <v>21</v>
      </c>
      <c r="K472" s="1" t="s">
        <v>21</v>
      </c>
      <c r="L472" s="4">
        <v>45500164</v>
      </c>
      <c r="M472" s="6">
        <f>Table2[[#This Row],[2025]]/SUM(Table2[2025])</f>
        <v>2.8646879678730491E-6</v>
      </c>
      <c r="N472" s="4"/>
      <c r="O472" s="1" t="s">
        <v>463</v>
      </c>
      <c r="P472" s="1" t="s">
        <v>21</v>
      </c>
      <c r="Q472" s="1" t="s">
        <v>21</v>
      </c>
      <c r="R472" s="1" t="s">
        <v>21</v>
      </c>
      <c r="S472" s="1" t="s">
        <v>21</v>
      </c>
      <c r="T472" s="1" t="s">
        <v>21</v>
      </c>
      <c r="U472" s="1" t="s">
        <v>21</v>
      </c>
      <c r="V472" s="1" t="s">
        <v>21</v>
      </c>
      <c r="W472" s="1" t="s">
        <v>21</v>
      </c>
      <c r="X472" s="1" t="s">
        <v>21</v>
      </c>
      <c r="Y472" s="4">
        <v>468488</v>
      </c>
      <c r="Z472" s="4">
        <v>37884546</v>
      </c>
    </row>
    <row r="473" spans="1:26" s="1" customFormat="1" ht="12.5" x14ac:dyDescent="0.25">
      <c r="A473" s="1" t="s">
        <v>418</v>
      </c>
      <c r="B473" s="1" t="s">
        <v>21</v>
      </c>
      <c r="C473" s="1" t="s">
        <v>21</v>
      </c>
      <c r="D473" s="1" t="s">
        <v>21</v>
      </c>
      <c r="E473" s="1" t="s">
        <v>21</v>
      </c>
      <c r="F473" s="1" t="s">
        <v>21</v>
      </c>
      <c r="G473" s="1" t="s">
        <v>21</v>
      </c>
      <c r="H473" s="4">
        <v>18507257</v>
      </c>
      <c r="I473" s="4">
        <v>18559211</v>
      </c>
      <c r="J473" s="4">
        <v>24909110</v>
      </c>
      <c r="K473" s="4">
        <v>35214198</v>
      </c>
      <c r="L473" s="4">
        <v>39617022</v>
      </c>
      <c r="M473" s="6">
        <f>Table2[[#This Row],[2025]]/SUM(Table2[2025])</f>
        <v>2.4942856523849426E-6</v>
      </c>
      <c r="N473" s="4"/>
      <c r="O473" s="1" t="s">
        <v>464</v>
      </c>
      <c r="P473" s="1" t="s">
        <v>21</v>
      </c>
      <c r="Q473" s="1" t="s">
        <v>21</v>
      </c>
      <c r="R473" s="1" t="s">
        <v>21</v>
      </c>
      <c r="S473" s="1" t="s">
        <v>21</v>
      </c>
      <c r="T473" s="1" t="s">
        <v>21</v>
      </c>
      <c r="U473" s="1" t="s">
        <v>21</v>
      </c>
      <c r="V473" s="1" t="s">
        <v>21</v>
      </c>
      <c r="W473" s="1" t="s">
        <v>21</v>
      </c>
      <c r="X473" s="1" t="s">
        <v>21</v>
      </c>
      <c r="Y473" s="4">
        <v>405283436</v>
      </c>
      <c r="Z473" s="4">
        <v>65196124</v>
      </c>
    </row>
    <row r="474" spans="1:26" s="1" customFormat="1" ht="12.5" x14ac:dyDescent="0.25">
      <c r="A474" s="1" t="s">
        <v>509</v>
      </c>
      <c r="B474" s="1" t="s">
        <v>21</v>
      </c>
      <c r="C474" s="1" t="s">
        <v>21</v>
      </c>
      <c r="D474" s="1" t="s">
        <v>21</v>
      </c>
      <c r="E474" s="1" t="s">
        <v>21</v>
      </c>
      <c r="F474" s="1" t="s">
        <v>21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21</v>
      </c>
      <c r="L474" s="4">
        <v>37422770</v>
      </c>
      <c r="M474" s="6">
        <f>Table2[[#This Row],[2025]]/SUM(Table2[2025])</f>
        <v>2.3561356601589503E-6</v>
      </c>
      <c r="N474" s="4"/>
      <c r="O474" s="1" t="s">
        <v>465</v>
      </c>
      <c r="P474" s="1" t="s">
        <v>21</v>
      </c>
      <c r="Q474" s="1" t="s">
        <v>21</v>
      </c>
      <c r="R474" s="1" t="s">
        <v>21</v>
      </c>
      <c r="S474" s="1" t="s">
        <v>21</v>
      </c>
      <c r="T474" s="1" t="s">
        <v>21</v>
      </c>
      <c r="U474" s="1" t="s">
        <v>21</v>
      </c>
      <c r="V474" s="1" t="s">
        <v>21</v>
      </c>
      <c r="W474" s="1" t="s">
        <v>21</v>
      </c>
      <c r="X474" s="1" t="s">
        <v>21</v>
      </c>
      <c r="Y474" s="4">
        <v>215663880</v>
      </c>
      <c r="Z474" s="4">
        <v>224047888</v>
      </c>
    </row>
    <row r="475" spans="1:26" s="1" customFormat="1" ht="12.5" x14ac:dyDescent="0.25">
      <c r="A475" s="1" t="s">
        <v>455</v>
      </c>
      <c r="B475" s="1" t="s">
        <v>21</v>
      </c>
      <c r="C475" s="1" t="s">
        <v>21</v>
      </c>
      <c r="D475" s="1" t="s">
        <v>21</v>
      </c>
      <c r="E475" s="1" t="s">
        <v>21</v>
      </c>
      <c r="F475" s="1" t="s">
        <v>21</v>
      </c>
      <c r="G475" s="1" t="s">
        <v>21</v>
      </c>
      <c r="H475" s="1" t="s">
        <v>21</v>
      </c>
      <c r="I475" s="1" t="s">
        <v>21</v>
      </c>
      <c r="J475" s="4">
        <v>2394084</v>
      </c>
      <c r="K475" s="4">
        <v>4924680</v>
      </c>
      <c r="L475" s="4">
        <v>33863239</v>
      </c>
      <c r="M475" s="6">
        <f>Table2[[#This Row],[2025]]/SUM(Table2[2025])</f>
        <v>2.1320277728341678E-6</v>
      </c>
      <c r="N475" s="4"/>
      <c r="O475" s="1" t="s">
        <v>466</v>
      </c>
      <c r="P475" s="1" t="s">
        <v>21</v>
      </c>
      <c r="Q475" s="1" t="s">
        <v>21</v>
      </c>
      <c r="R475" s="1" t="s">
        <v>21</v>
      </c>
      <c r="S475" s="1" t="s">
        <v>21</v>
      </c>
      <c r="T475" s="1" t="s">
        <v>21</v>
      </c>
      <c r="U475" s="1" t="s">
        <v>21</v>
      </c>
      <c r="V475" s="1" t="s">
        <v>21</v>
      </c>
      <c r="W475" s="1" t="s">
        <v>21</v>
      </c>
      <c r="X475" s="1" t="s">
        <v>21</v>
      </c>
      <c r="Y475" s="4">
        <v>30000197</v>
      </c>
      <c r="Z475" s="4">
        <v>54155977</v>
      </c>
    </row>
    <row r="476" spans="1:26" s="1" customFormat="1" ht="12.5" x14ac:dyDescent="0.25">
      <c r="A476" s="1" t="s">
        <v>433</v>
      </c>
      <c r="B476" s="1" t="s">
        <v>21</v>
      </c>
      <c r="C476" s="1" t="s">
        <v>21</v>
      </c>
      <c r="D476" s="1" t="s">
        <v>21</v>
      </c>
      <c r="E476" s="1" t="s">
        <v>21</v>
      </c>
      <c r="F476" s="1" t="s">
        <v>21</v>
      </c>
      <c r="G476" s="1" t="s">
        <v>21</v>
      </c>
      <c r="H476" s="1" t="s">
        <v>21</v>
      </c>
      <c r="I476" s="4">
        <v>4348235</v>
      </c>
      <c r="J476" s="4">
        <v>4696074</v>
      </c>
      <c r="K476" s="4">
        <v>17495642</v>
      </c>
      <c r="L476" s="4">
        <v>18936052</v>
      </c>
      <c r="M476" s="6">
        <f>Table2[[#This Row],[2025]]/SUM(Table2[2025])</f>
        <v>1.1922128527584734E-6</v>
      </c>
      <c r="N476" s="4"/>
      <c r="O476" s="1" t="s">
        <v>467</v>
      </c>
      <c r="P476" s="1" t="s">
        <v>21</v>
      </c>
      <c r="Q476" s="1" t="s">
        <v>21</v>
      </c>
      <c r="R476" s="1" t="s">
        <v>21</v>
      </c>
      <c r="S476" s="1" t="s">
        <v>21</v>
      </c>
      <c r="T476" s="1" t="s">
        <v>21</v>
      </c>
      <c r="U476" s="1" t="s">
        <v>21</v>
      </c>
      <c r="V476" s="1" t="s">
        <v>21</v>
      </c>
      <c r="W476" s="1" t="s">
        <v>21</v>
      </c>
      <c r="X476" s="1" t="s">
        <v>21</v>
      </c>
      <c r="Y476" s="4">
        <v>231639397</v>
      </c>
      <c r="Z476" s="4">
        <v>251779242</v>
      </c>
    </row>
    <row r="477" spans="1:26" s="1" customFormat="1" ht="12.5" x14ac:dyDescent="0.25">
      <c r="A477" s="1" t="s">
        <v>511</v>
      </c>
      <c r="B477" s="1" t="s">
        <v>21</v>
      </c>
      <c r="C477" s="1" t="s">
        <v>21</v>
      </c>
      <c r="D477" s="1" t="s">
        <v>21</v>
      </c>
      <c r="E477" s="1" t="s">
        <v>21</v>
      </c>
      <c r="F477" s="1" t="s">
        <v>21</v>
      </c>
      <c r="G477" s="1" t="s">
        <v>21</v>
      </c>
      <c r="H477" s="1" t="s">
        <v>21</v>
      </c>
      <c r="I477" s="1" t="s">
        <v>21</v>
      </c>
      <c r="J477" s="1" t="s">
        <v>21</v>
      </c>
      <c r="K477" s="1" t="s">
        <v>21</v>
      </c>
      <c r="L477" s="4">
        <v>16413898</v>
      </c>
      <c r="M477" s="6">
        <f>Table2[[#This Row],[2025]]/SUM(Table2[2025])</f>
        <v>1.0334181676025499E-6</v>
      </c>
      <c r="N477" s="4"/>
      <c r="O477" s="1" t="s">
        <v>468</v>
      </c>
      <c r="P477" s="1" t="s">
        <v>21</v>
      </c>
      <c r="Q477" s="1" t="s">
        <v>21</v>
      </c>
      <c r="R477" s="1" t="s">
        <v>21</v>
      </c>
      <c r="S477" s="1" t="s">
        <v>21</v>
      </c>
      <c r="T477" s="1" t="s">
        <v>21</v>
      </c>
      <c r="U477" s="1" t="s">
        <v>21</v>
      </c>
      <c r="V477" s="1" t="s">
        <v>21</v>
      </c>
      <c r="W477" s="1" t="s">
        <v>21</v>
      </c>
      <c r="X477" s="1" t="s">
        <v>21</v>
      </c>
      <c r="Y477" s="4">
        <v>66052682</v>
      </c>
      <c r="Z477" s="4">
        <v>141076136</v>
      </c>
    </row>
    <row r="478" spans="1:26" s="1" customFormat="1" ht="12.5" x14ac:dyDescent="0.25">
      <c r="A478" s="1" t="s">
        <v>32</v>
      </c>
      <c r="B478" s="4">
        <v>62901849</v>
      </c>
      <c r="C478" s="4">
        <v>71504534</v>
      </c>
      <c r="D478" s="4">
        <v>56255146</v>
      </c>
      <c r="E478" s="4">
        <v>20236994</v>
      </c>
      <c r="F478" s="4">
        <v>48280146</v>
      </c>
      <c r="G478" s="4">
        <v>38981435</v>
      </c>
      <c r="H478" s="4">
        <v>34913843</v>
      </c>
      <c r="I478" s="4">
        <v>16847677</v>
      </c>
      <c r="J478" s="4">
        <v>16179000</v>
      </c>
      <c r="K478" s="4">
        <v>15286325</v>
      </c>
      <c r="L478" s="4">
        <v>15875016</v>
      </c>
      <c r="M478" s="6">
        <f>Table2[[#This Row],[2025]]/SUM(Table2[2025])</f>
        <v>9.9949018480443597E-7</v>
      </c>
      <c r="N478" s="4"/>
      <c r="O478" s="1" t="s">
        <v>469</v>
      </c>
      <c r="P478" s="1" t="s">
        <v>21</v>
      </c>
      <c r="Q478" s="1" t="s">
        <v>21</v>
      </c>
      <c r="R478" s="1" t="s">
        <v>21</v>
      </c>
      <c r="S478" s="1" t="s">
        <v>21</v>
      </c>
      <c r="T478" s="1" t="s">
        <v>21</v>
      </c>
      <c r="U478" s="1" t="s">
        <v>21</v>
      </c>
      <c r="V478" s="1" t="s">
        <v>21</v>
      </c>
      <c r="W478" s="1" t="s">
        <v>21</v>
      </c>
      <c r="X478" s="1" t="s">
        <v>21</v>
      </c>
      <c r="Y478" s="4">
        <v>81494821</v>
      </c>
      <c r="Z478" s="4">
        <v>7968151</v>
      </c>
    </row>
    <row r="479" spans="1:26" s="1" customFormat="1" ht="12.5" x14ac:dyDescent="0.25">
      <c r="A479" s="1" t="s">
        <v>346</v>
      </c>
      <c r="B479" s="1" t="s">
        <v>21</v>
      </c>
      <c r="C479" s="1" t="s">
        <v>21</v>
      </c>
      <c r="D479" s="1" t="s">
        <v>21</v>
      </c>
      <c r="E479" s="4">
        <v>26110435</v>
      </c>
      <c r="F479" s="4">
        <v>69372813</v>
      </c>
      <c r="G479" s="4">
        <v>73368893</v>
      </c>
      <c r="H479" s="4">
        <v>79654885</v>
      </c>
      <c r="I479" s="4">
        <v>61398877</v>
      </c>
      <c r="J479" s="4">
        <v>8524305</v>
      </c>
      <c r="K479" s="4">
        <v>9087457</v>
      </c>
      <c r="L479" s="4">
        <v>10532035</v>
      </c>
      <c r="M479" s="6">
        <f>Table2[[#This Row],[2025]]/SUM(Table2[2025])</f>
        <v>6.6309637788817264E-7</v>
      </c>
      <c r="N479" s="4"/>
      <c r="O479" s="1" t="s">
        <v>470</v>
      </c>
      <c r="P479" s="1" t="s">
        <v>21</v>
      </c>
      <c r="Q479" s="1" t="s">
        <v>21</v>
      </c>
      <c r="R479" s="1" t="s">
        <v>21</v>
      </c>
      <c r="S479" s="1" t="s">
        <v>21</v>
      </c>
      <c r="T479" s="1" t="s">
        <v>21</v>
      </c>
      <c r="U479" s="1" t="s">
        <v>21</v>
      </c>
      <c r="V479" s="1" t="s">
        <v>21</v>
      </c>
      <c r="W479" s="1" t="s">
        <v>21</v>
      </c>
      <c r="X479" s="1" t="s">
        <v>21</v>
      </c>
      <c r="Y479" s="4">
        <v>1147359677</v>
      </c>
      <c r="Z479" s="4">
        <v>80403067</v>
      </c>
    </row>
    <row r="480" spans="1:26" s="1" customFormat="1" ht="12.5" x14ac:dyDescent="0.25">
      <c r="A480" s="1" t="s">
        <v>459</v>
      </c>
      <c r="B480" s="1" t="s">
        <v>21</v>
      </c>
      <c r="C480" s="1" t="s">
        <v>21</v>
      </c>
      <c r="D480" s="1" t="s">
        <v>21</v>
      </c>
      <c r="E480" s="1" t="s">
        <v>21</v>
      </c>
      <c r="F480" s="1" t="s">
        <v>21</v>
      </c>
      <c r="G480" s="1" t="s">
        <v>21</v>
      </c>
      <c r="H480" s="1" t="s">
        <v>21</v>
      </c>
      <c r="I480" s="1" t="s">
        <v>21</v>
      </c>
      <c r="J480" s="4">
        <v>264121757</v>
      </c>
      <c r="K480" s="4">
        <v>245073272</v>
      </c>
      <c r="L480" s="4">
        <v>7343942</v>
      </c>
      <c r="M480" s="6">
        <f>Table2[[#This Row],[2025]]/SUM(Table2[2025])</f>
        <v>4.6237420779752651E-7</v>
      </c>
      <c r="N480" s="4"/>
      <c r="O480" s="1" t="s">
        <v>471</v>
      </c>
      <c r="P480" s="1" t="s">
        <v>21</v>
      </c>
      <c r="Q480" s="1" t="s">
        <v>21</v>
      </c>
      <c r="R480" s="1" t="s">
        <v>21</v>
      </c>
      <c r="S480" s="1" t="s">
        <v>21</v>
      </c>
      <c r="T480" s="1" t="s">
        <v>21</v>
      </c>
      <c r="U480" s="1" t="s">
        <v>21</v>
      </c>
      <c r="V480" s="1" t="s">
        <v>21</v>
      </c>
      <c r="W480" s="1" t="s">
        <v>21</v>
      </c>
      <c r="X480" s="1" t="s">
        <v>21</v>
      </c>
      <c r="Y480" s="4">
        <v>1953172892</v>
      </c>
      <c r="Z480" s="4">
        <v>310662071</v>
      </c>
    </row>
    <row r="481" spans="1:26" s="1" customFormat="1" ht="12.5" x14ac:dyDescent="0.25">
      <c r="A481" s="1" t="s">
        <v>426</v>
      </c>
      <c r="B481" s="1" t="s">
        <v>21</v>
      </c>
      <c r="C481" s="1" t="s">
        <v>21</v>
      </c>
      <c r="D481" s="1" t="s">
        <v>21</v>
      </c>
      <c r="E481" s="1" t="s">
        <v>21</v>
      </c>
      <c r="F481" s="1" t="s">
        <v>21</v>
      </c>
      <c r="G481" s="1" t="s">
        <v>21</v>
      </c>
      <c r="H481" s="4">
        <v>933596</v>
      </c>
      <c r="I481" s="4">
        <v>4097484</v>
      </c>
      <c r="J481" s="4">
        <v>5846897</v>
      </c>
      <c r="K481" s="4">
        <v>4468038</v>
      </c>
      <c r="L481" s="4">
        <v>4738075</v>
      </c>
      <c r="M481" s="6">
        <f>Table2[[#This Row],[2025]]/SUM(Table2[2025])</f>
        <v>2.9830895649914794E-7</v>
      </c>
      <c r="N481" s="4"/>
      <c r="O481" s="1" t="s">
        <v>472</v>
      </c>
      <c r="P481" s="1" t="s">
        <v>21</v>
      </c>
      <c r="Q481" s="1" t="s">
        <v>21</v>
      </c>
      <c r="R481" s="1" t="s">
        <v>21</v>
      </c>
      <c r="S481" s="1" t="s">
        <v>21</v>
      </c>
      <c r="T481" s="1" t="s">
        <v>21</v>
      </c>
      <c r="U481" s="1" t="s">
        <v>21</v>
      </c>
      <c r="V481" s="1" t="s">
        <v>21</v>
      </c>
      <c r="W481" s="1" t="s">
        <v>21</v>
      </c>
      <c r="X481" s="1" t="s">
        <v>21</v>
      </c>
      <c r="Y481" s="4">
        <v>152451194</v>
      </c>
      <c r="Z481" s="4">
        <v>32337689</v>
      </c>
    </row>
    <row r="482" spans="1:26" s="1" customFormat="1" ht="12.5" x14ac:dyDescent="0.25">
      <c r="A482" s="1" t="s">
        <v>361</v>
      </c>
      <c r="B482" s="1" t="s">
        <v>21</v>
      </c>
      <c r="C482" s="1" t="s">
        <v>21</v>
      </c>
      <c r="D482" s="1" t="s">
        <v>21</v>
      </c>
      <c r="E482" s="1" t="s">
        <v>21</v>
      </c>
      <c r="F482" s="4">
        <v>1012239</v>
      </c>
      <c r="G482" s="4">
        <v>1807731</v>
      </c>
      <c r="H482" s="4">
        <v>3855422</v>
      </c>
      <c r="I482" s="4">
        <v>90098391</v>
      </c>
      <c r="J482" s="4">
        <v>2220169</v>
      </c>
      <c r="K482" s="4">
        <v>2853879</v>
      </c>
      <c r="L482" s="4">
        <v>4624129</v>
      </c>
      <c r="M482" s="6">
        <f>Table2[[#This Row],[2025]]/SUM(Table2[2025])</f>
        <v>2.9113492224319973E-7</v>
      </c>
      <c r="N482" s="4"/>
      <c r="O482" s="1" t="s">
        <v>473</v>
      </c>
      <c r="P482" s="1" t="s">
        <v>21</v>
      </c>
      <c r="Q482" s="1" t="s">
        <v>21</v>
      </c>
      <c r="R482" s="1" t="s">
        <v>21</v>
      </c>
      <c r="S482" s="1" t="s">
        <v>21</v>
      </c>
      <c r="T482" s="1" t="s">
        <v>21</v>
      </c>
      <c r="U482" s="1" t="s">
        <v>21</v>
      </c>
      <c r="V482" s="1" t="s">
        <v>21</v>
      </c>
      <c r="W482" s="1" t="s">
        <v>21</v>
      </c>
      <c r="X482" s="1" t="s">
        <v>21</v>
      </c>
      <c r="Y482" s="4">
        <v>381210742</v>
      </c>
      <c r="Z482" s="4">
        <v>95912191</v>
      </c>
    </row>
    <row r="483" spans="1:26" s="1" customFormat="1" ht="12.5" x14ac:dyDescent="0.25">
      <c r="A483" s="1" t="s">
        <v>497</v>
      </c>
      <c r="B483" s="1" t="s">
        <v>21</v>
      </c>
      <c r="C483" s="1" t="s">
        <v>21</v>
      </c>
      <c r="D483" s="1" t="s">
        <v>21</v>
      </c>
      <c r="E483" s="1" t="s">
        <v>21</v>
      </c>
      <c r="F483" s="1" t="s">
        <v>21</v>
      </c>
      <c r="G483" s="1" t="s">
        <v>21</v>
      </c>
      <c r="H483" s="1" t="s">
        <v>21</v>
      </c>
      <c r="I483" s="1" t="s">
        <v>21</v>
      </c>
      <c r="J483" s="1" t="s">
        <v>21</v>
      </c>
      <c r="K483" s="1" t="s">
        <v>21</v>
      </c>
      <c r="L483" s="4">
        <v>962831</v>
      </c>
      <c r="M483" s="6">
        <f>Table2[[#This Row],[2025]]/SUM(Table2[2025])</f>
        <v>6.0619789871420586E-8</v>
      </c>
      <c r="N483" s="4"/>
      <c r="O483" s="1" t="s">
        <v>474</v>
      </c>
      <c r="P483" s="1" t="s">
        <v>21</v>
      </c>
      <c r="Q483" s="1" t="s">
        <v>21</v>
      </c>
      <c r="R483" s="1" t="s">
        <v>21</v>
      </c>
      <c r="S483" s="1" t="s">
        <v>21</v>
      </c>
      <c r="T483" s="1" t="s">
        <v>21</v>
      </c>
      <c r="U483" s="1" t="s">
        <v>21</v>
      </c>
      <c r="V483" s="1" t="s">
        <v>21</v>
      </c>
      <c r="W483" s="1" t="s">
        <v>21</v>
      </c>
      <c r="X483" s="1" t="s">
        <v>21</v>
      </c>
      <c r="Y483" s="1" t="s">
        <v>21</v>
      </c>
      <c r="Z483" s="4">
        <v>3490785</v>
      </c>
    </row>
    <row r="484" spans="1:26" s="1" customFormat="1" x14ac:dyDescent="0.35">
      <c r="A484" t="s">
        <v>21</v>
      </c>
      <c r="B484"/>
      <c r="C484"/>
      <c r="D484"/>
      <c r="E484"/>
      <c r="F484"/>
      <c r="G484"/>
      <c r="H484"/>
      <c r="I484"/>
      <c r="J484"/>
      <c r="K484"/>
      <c r="L484"/>
      <c r="M484" s="4"/>
      <c r="N484" s="4"/>
      <c r="O484" s="1" t="s">
        <v>475</v>
      </c>
      <c r="P484" s="1" t="s">
        <v>21</v>
      </c>
      <c r="Q484" s="1" t="s">
        <v>21</v>
      </c>
      <c r="R484" s="1" t="s">
        <v>21</v>
      </c>
      <c r="S484" s="1" t="s">
        <v>21</v>
      </c>
      <c r="T484" s="1" t="s">
        <v>21</v>
      </c>
      <c r="U484" s="1" t="s">
        <v>21</v>
      </c>
      <c r="V484" s="1" t="s">
        <v>21</v>
      </c>
      <c r="W484" s="1" t="s">
        <v>21</v>
      </c>
      <c r="X484" s="1" t="s">
        <v>21</v>
      </c>
      <c r="Y484" s="4">
        <v>323545851</v>
      </c>
      <c r="Z484" s="4">
        <v>563672778</v>
      </c>
    </row>
    <row r="485" spans="1:26" s="1" customFormat="1" ht="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4"/>
      <c r="N485" s="4"/>
      <c r="O485" s="1" t="s">
        <v>476</v>
      </c>
      <c r="P485" s="1" t="s">
        <v>21</v>
      </c>
      <c r="Q485" s="1" t="s">
        <v>21</v>
      </c>
      <c r="R485" s="1" t="s">
        <v>21</v>
      </c>
      <c r="S485" s="1" t="s">
        <v>21</v>
      </c>
      <c r="T485" s="1" t="s">
        <v>21</v>
      </c>
      <c r="U485" s="1" t="s">
        <v>21</v>
      </c>
      <c r="V485" s="1" t="s">
        <v>21</v>
      </c>
      <c r="W485" s="1" t="s">
        <v>21</v>
      </c>
      <c r="X485" s="1" t="s">
        <v>21</v>
      </c>
      <c r="Y485" s="4">
        <v>542349472</v>
      </c>
      <c r="Z485" s="4">
        <v>31990433</v>
      </c>
    </row>
    <row r="486" spans="1:26" s="1" customFormat="1" x14ac:dyDescent="0.35">
      <c r="A486"/>
      <c r="B486"/>
      <c r="C486"/>
      <c r="D486"/>
      <c r="E486"/>
      <c r="F486"/>
      <c r="G486"/>
      <c r="H486"/>
      <c r="I486"/>
      <c r="J486"/>
      <c r="K486"/>
      <c r="L486"/>
      <c r="M486" s="4"/>
      <c r="N486" s="4"/>
      <c r="O486" s="1" t="s">
        <v>21</v>
      </c>
      <c r="P486" s="1" t="s">
        <v>21</v>
      </c>
      <c r="Q486" s="1" t="s">
        <v>21</v>
      </c>
      <c r="R486" s="1" t="s">
        <v>21</v>
      </c>
      <c r="S486" s="1" t="s">
        <v>21</v>
      </c>
      <c r="T486" s="1" t="s">
        <v>21</v>
      </c>
      <c r="U486" s="1" t="s">
        <v>21</v>
      </c>
      <c r="V486" s="1" t="s">
        <v>21</v>
      </c>
      <c r="W486" s="1" t="s">
        <v>21</v>
      </c>
      <c r="X486" s="1" t="s">
        <v>21</v>
      </c>
      <c r="Y486" s="1" t="s">
        <v>21</v>
      </c>
      <c r="Z486" s="4">
        <v>77077216</v>
      </c>
    </row>
    <row r="487" spans="1:26" s="1" customFormat="1" x14ac:dyDescent="0.35">
      <c r="A487"/>
      <c r="B487"/>
      <c r="C487"/>
      <c r="D487"/>
      <c r="E487"/>
      <c r="F487"/>
      <c r="G487"/>
      <c r="H487"/>
      <c r="I487"/>
      <c r="J487"/>
      <c r="K487"/>
      <c r="L487"/>
      <c r="M487" s="4"/>
      <c r="N487" s="4"/>
      <c r="O487" s="1" t="s">
        <v>477</v>
      </c>
      <c r="P487" s="1" t="s">
        <v>21</v>
      </c>
      <c r="Q487" s="1" t="s">
        <v>21</v>
      </c>
      <c r="R487" s="1" t="s">
        <v>21</v>
      </c>
      <c r="S487" s="1" t="s">
        <v>21</v>
      </c>
      <c r="T487" s="1" t="s">
        <v>21</v>
      </c>
      <c r="U487" s="1" t="s">
        <v>21</v>
      </c>
      <c r="V487" s="1" t="s">
        <v>21</v>
      </c>
      <c r="W487" s="1" t="s">
        <v>21</v>
      </c>
      <c r="X487" s="1" t="s">
        <v>21</v>
      </c>
      <c r="Y487" s="1" t="s">
        <v>21</v>
      </c>
      <c r="Z487" s="4">
        <v>1325801518</v>
      </c>
    </row>
    <row r="488" spans="1:26" s="1" customFormat="1" x14ac:dyDescent="0.35">
      <c r="A488"/>
      <c r="B488"/>
      <c r="C488"/>
      <c r="D488"/>
      <c r="E488"/>
      <c r="F488"/>
      <c r="G488"/>
      <c r="H488"/>
      <c r="I488"/>
      <c r="J488"/>
      <c r="K488"/>
      <c r="L488"/>
      <c r="O488" s="1" t="s">
        <v>478</v>
      </c>
      <c r="P488" s="1" t="s">
        <v>21</v>
      </c>
      <c r="Q488" s="1" t="s">
        <v>21</v>
      </c>
      <c r="R488" s="1" t="s">
        <v>21</v>
      </c>
      <c r="S488" s="1" t="s">
        <v>21</v>
      </c>
      <c r="T488" s="1" t="s">
        <v>21</v>
      </c>
      <c r="U488" s="1" t="s">
        <v>21</v>
      </c>
      <c r="V488" s="1" t="s">
        <v>21</v>
      </c>
      <c r="W488" s="1" t="s">
        <v>21</v>
      </c>
      <c r="X488" s="1" t="s">
        <v>21</v>
      </c>
      <c r="Y488" s="1" t="s">
        <v>21</v>
      </c>
      <c r="Z488" s="1" t="s">
        <v>21</v>
      </c>
    </row>
    <row r="489" spans="1:26" s="1" customFormat="1" x14ac:dyDescent="0.35">
      <c r="A489"/>
      <c r="B489"/>
      <c r="C489"/>
      <c r="D489"/>
      <c r="E489"/>
      <c r="F489"/>
      <c r="G489"/>
      <c r="H489"/>
      <c r="I489"/>
      <c r="J489"/>
      <c r="K489"/>
      <c r="L489"/>
      <c r="O489" s="1" t="s">
        <v>479</v>
      </c>
      <c r="P489" s="1" t="s">
        <v>21</v>
      </c>
      <c r="Q489" s="1" t="s">
        <v>21</v>
      </c>
      <c r="R489" s="1" t="s">
        <v>21</v>
      </c>
      <c r="S489" s="1" t="s">
        <v>21</v>
      </c>
      <c r="T489" s="1" t="s">
        <v>21</v>
      </c>
      <c r="U489" s="1" t="s">
        <v>21</v>
      </c>
      <c r="V489" s="1" t="s">
        <v>21</v>
      </c>
      <c r="W489" s="1" t="s">
        <v>21</v>
      </c>
      <c r="X489" s="1" t="s">
        <v>21</v>
      </c>
      <c r="Y489" s="1" t="s">
        <v>21</v>
      </c>
      <c r="Z489" s="4">
        <v>10297242</v>
      </c>
    </row>
    <row r="490" spans="1:26" s="1" customFormat="1" x14ac:dyDescent="0.35">
      <c r="A490"/>
      <c r="B490"/>
      <c r="C490"/>
      <c r="D490"/>
      <c r="E490"/>
      <c r="F490"/>
      <c r="G490"/>
      <c r="H490"/>
      <c r="I490"/>
      <c r="J490"/>
      <c r="K490"/>
      <c r="L490"/>
      <c r="M490" s="4"/>
      <c r="N490" s="4"/>
      <c r="O490" s="1" t="s">
        <v>480</v>
      </c>
      <c r="P490" s="1" t="s">
        <v>21</v>
      </c>
      <c r="Q490" s="1" t="s">
        <v>21</v>
      </c>
      <c r="R490" s="1" t="s">
        <v>21</v>
      </c>
      <c r="S490" s="1" t="s">
        <v>21</v>
      </c>
      <c r="T490" s="1" t="s">
        <v>21</v>
      </c>
      <c r="U490" s="1" t="s">
        <v>21</v>
      </c>
      <c r="V490" s="1" t="s">
        <v>21</v>
      </c>
      <c r="W490" s="1" t="s">
        <v>21</v>
      </c>
      <c r="X490" s="1" t="s">
        <v>21</v>
      </c>
      <c r="Y490" s="1" t="s">
        <v>21</v>
      </c>
      <c r="Z490" s="4">
        <v>882687507</v>
      </c>
    </row>
    <row r="491" spans="1:26" s="1" customFormat="1" x14ac:dyDescent="0.35">
      <c r="A491"/>
      <c r="B491"/>
      <c r="C491"/>
      <c r="D491"/>
      <c r="E491"/>
      <c r="F491"/>
      <c r="G491"/>
      <c r="H491"/>
      <c r="I491"/>
      <c r="J491"/>
      <c r="K491"/>
      <c r="L491"/>
      <c r="O491" s="1" t="s">
        <v>481</v>
      </c>
      <c r="P491" s="1" t="s">
        <v>21</v>
      </c>
      <c r="Q491" s="1" t="s">
        <v>21</v>
      </c>
      <c r="R491" s="1" t="s">
        <v>21</v>
      </c>
      <c r="S491" s="1" t="s">
        <v>21</v>
      </c>
      <c r="T491" s="1" t="s">
        <v>21</v>
      </c>
      <c r="U491" s="1" t="s">
        <v>21</v>
      </c>
      <c r="V491" s="1" t="s">
        <v>21</v>
      </c>
      <c r="W491" s="1" t="s">
        <v>21</v>
      </c>
      <c r="X491" s="1" t="s">
        <v>21</v>
      </c>
      <c r="Y491" s="1" t="s">
        <v>21</v>
      </c>
      <c r="Z491" s="1" t="s">
        <v>21</v>
      </c>
    </row>
    <row r="492" spans="1:26" s="1" customFormat="1" x14ac:dyDescent="0.35">
      <c r="A492"/>
      <c r="B492"/>
      <c r="C492"/>
      <c r="D492"/>
      <c r="E492"/>
      <c r="F492"/>
      <c r="G492"/>
      <c r="H492"/>
      <c r="I492"/>
      <c r="J492"/>
      <c r="K492"/>
      <c r="L492"/>
      <c r="O492" s="1" t="s">
        <v>482</v>
      </c>
      <c r="P492" s="1" t="s">
        <v>21</v>
      </c>
      <c r="Q492" s="1" t="s">
        <v>21</v>
      </c>
      <c r="R492" s="1" t="s">
        <v>21</v>
      </c>
      <c r="S492" s="1" t="s">
        <v>21</v>
      </c>
      <c r="T492" s="1" t="s">
        <v>21</v>
      </c>
      <c r="U492" s="1" t="s">
        <v>21</v>
      </c>
      <c r="V492" s="1" t="s">
        <v>21</v>
      </c>
      <c r="W492" s="1" t="s">
        <v>21</v>
      </c>
      <c r="X492" s="1" t="s">
        <v>21</v>
      </c>
      <c r="Y492" s="1" t="s">
        <v>21</v>
      </c>
      <c r="Z492" s="1" t="s">
        <v>21</v>
      </c>
    </row>
    <row r="493" spans="1:26" s="1" customFormat="1" x14ac:dyDescent="0.35">
      <c r="A493"/>
      <c r="B493"/>
      <c r="C493"/>
      <c r="D493"/>
      <c r="E493"/>
      <c r="F493"/>
      <c r="G493"/>
      <c r="H493"/>
      <c r="I493"/>
      <c r="J493"/>
      <c r="K493"/>
      <c r="L493"/>
      <c r="M493" s="4"/>
      <c r="N493" s="4"/>
      <c r="O493" s="1" t="s">
        <v>483</v>
      </c>
      <c r="P493" s="1" t="s">
        <v>21</v>
      </c>
      <c r="Q493" s="1" t="s">
        <v>21</v>
      </c>
      <c r="R493" s="1" t="s">
        <v>21</v>
      </c>
      <c r="S493" s="1" t="s">
        <v>21</v>
      </c>
      <c r="T493" s="1" t="s">
        <v>21</v>
      </c>
      <c r="U493" s="1" t="s">
        <v>21</v>
      </c>
      <c r="V493" s="1" t="s">
        <v>21</v>
      </c>
      <c r="W493" s="1" t="s">
        <v>21</v>
      </c>
      <c r="X493" s="1" t="s">
        <v>21</v>
      </c>
      <c r="Y493" s="1" t="s">
        <v>21</v>
      </c>
      <c r="Z493" s="4">
        <v>218447096</v>
      </c>
    </row>
    <row r="494" spans="1:26" s="1" customFormat="1" x14ac:dyDescent="0.35">
      <c r="A494"/>
      <c r="B494"/>
      <c r="C494"/>
      <c r="D494"/>
      <c r="E494"/>
      <c r="F494"/>
      <c r="G494"/>
      <c r="H494"/>
      <c r="I494"/>
      <c r="J494"/>
      <c r="K494"/>
      <c r="L494"/>
      <c r="O494" s="1" t="s">
        <v>484</v>
      </c>
      <c r="P494" s="1" t="s">
        <v>21</v>
      </c>
      <c r="Q494" s="1" t="s">
        <v>21</v>
      </c>
      <c r="R494" s="1" t="s">
        <v>21</v>
      </c>
      <c r="S494" s="1" t="s">
        <v>21</v>
      </c>
      <c r="T494" s="1" t="s">
        <v>21</v>
      </c>
      <c r="U494" s="1" t="s">
        <v>21</v>
      </c>
      <c r="V494" s="1" t="s">
        <v>21</v>
      </c>
      <c r="W494" s="1" t="s">
        <v>21</v>
      </c>
      <c r="X494" s="1" t="s">
        <v>21</v>
      </c>
      <c r="Y494" s="1" t="s">
        <v>21</v>
      </c>
      <c r="Z494" s="1" t="s">
        <v>21</v>
      </c>
    </row>
    <row r="495" spans="1:26" s="1" customFormat="1" x14ac:dyDescent="0.35">
      <c r="A495"/>
      <c r="B495"/>
      <c r="C495"/>
      <c r="D495"/>
      <c r="E495"/>
      <c r="F495"/>
      <c r="G495"/>
      <c r="H495"/>
      <c r="I495"/>
      <c r="J495"/>
      <c r="K495"/>
      <c r="L495"/>
      <c r="O495" s="1" t="s">
        <v>485</v>
      </c>
      <c r="P495" s="1" t="s">
        <v>21</v>
      </c>
      <c r="Q495" s="1" t="s">
        <v>21</v>
      </c>
      <c r="R495" s="1" t="s">
        <v>21</v>
      </c>
      <c r="S495" s="1" t="s">
        <v>21</v>
      </c>
      <c r="T495" s="1" t="s">
        <v>21</v>
      </c>
      <c r="U495" s="1" t="s">
        <v>21</v>
      </c>
      <c r="V495" s="1" t="s">
        <v>21</v>
      </c>
      <c r="W495" s="1" t="s">
        <v>21</v>
      </c>
      <c r="X495" s="1" t="s">
        <v>21</v>
      </c>
      <c r="Y495" s="1" t="s">
        <v>21</v>
      </c>
      <c r="Z495" s="1" t="s">
        <v>21</v>
      </c>
    </row>
    <row r="496" spans="1:26" s="1" customFormat="1" x14ac:dyDescent="0.35">
      <c r="A496"/>
      <c r="B496"/>
      <c r="C496"/>
      <c r="D496"/>
      <c r="E496"/>
      <c r="F496"/>
      <c r="G496"/>
      <c r="H496"/>
      <c r="I496"/>
      <c r="J496"/>
      <c r="K496"/>
      <c r="L496"/>
      <c r="M496" s="4"/>
      <c r="N496" s="4"/>
      <c r="O496" s="1" t="s">
        <v>486</v>
      </c>
      <c r="P496" s="1" t="s">
        <v>21</v>
      </c>
      <c r="Q496" s="1" t="s">
        <v>21</v>
      </c>
      <c r="R496" s="1" t="s">
        <v>21</v>
      </c>
      <c r="S496" s="1" t="s">
        <v>21</v>
      </c>
      <c r="T496" s="1" t="s">
        <v>21</v>
      </c>
      <c r="U496" s="1" t="s">
        <v>21</v>
      </c>
      <c r="V496" s="1" t="s">
        <v>21</v>
      </c>
      <c r="W496" s="1" t="s">
        <v>21</v>
      </c>
      <c r="X496" s="1" t="s">
        <v>21</v>
      </c>
      <c r="Y496" s="1" t="s">
        <v>21</v>
      </c>
      <c r="Z496" s="4">
        <v>960318373</v>
      </c>
    </row>
    <row r="497" spans="1:26" s="1" customFormat="1" x14ac:dyDescent="0.35">
      <c r="A497"/>
      <c r="B497"/>
      <c r="C497"/>
      <c r="D497"/>
      <c r="E497"/>
      <c r="F497"/>
      <c r="G497"/>
      <c r="H497"/>
      <c r="I497"/>
      <c r="J497"/>
      <c r="K497"/>
      <c r="L497"/>
      <c r="O497" s="1" t="s">
        <v>487</v>
      </c>
      <c r="P497" s="1" t="s">
        <v>21</v>
      </c>
      <c r="Q497" s="1" t="s">
        <v>21</v>
      </c>
      <c r="R497" s="1" t="s">
        <v>21</v>
      </c>
      <c r="S497" s="1" t="s">
        <v>21</v>
      </c>
      <c r="T497" s="1" t="s">
        <v>21</v>
      </c>
      <c r="U497" s="1" t="s">
        <v>21</v>
      </c>
      <c r="V497" s="1" t="s">
        <v>21</v>
      </c>
      <c r="W497" s="1" t="s">
        <v>21</v>
      </c>
      <c r="X497" s="1" t="s">
        <v>21</v>
      </c>
      <c r="Y497" s="1" t="s">
        <v>21</v>
      </c>
      <c r="Z497" s="1" t="s">
        <v>21</v>
      </c>
    </row>
    <row r="498" spans="1:26" s="1" customFormat="1" x14ac:dyDescent="0.35">
      <c r="A498"/>
      <c r="B498"/>
      <c r="C498"/>
      <c r="D498"/>
      <c r="E498"/>
      <c r="F498"/>
      <c r="G498"/>
      <c r="H498"/>
      <c r="I498"/>
      <c r="J498"/>
      <c r="K498"/>
      <c r="L498"/>
      <c r="O498" s="1" t="s">
        <v>488</v>
      </c>
      <c r="P498" s="1" t="s">
        <v>21</v>
      </c>
      <c r="Q498" s="1" t="s">
        <v>21</v>
      </c>
      <c r="R498" s="1" t="s">
        <v>21</v>
      </c>
      <c r="S498" s="1" t="s">
        <v>21</v>
      </c>
      <c r="T498" s="1" t="s">
        <v>21</v>
      </c>
      <c r="U498" s="1" t="s">
        <v>21</v>
      </c>
      <c r="V498" s="1" t="s">
        <v>21</v>
      </c>
      <c r="W498" s="1" t="s">
        <v>21</v>
      </c>
      <c r="X498" s="1" t="s">
        <v>21</v>
      </c>
      <c r="Y498" s="1" t="s">
        <v>21</v>
      </c>
      <c r="Z498" s="1" t="s">
        <v>21</v>
      </c>
    </row>
    <row r="499" spans="1:26" s="1" customFormat="1" x14ac:dyDescent="0.35">
      <c r="A499"/>
      <c r="B499"/>
      <c r="C499"/>
      <c r="D499"/>
      <c r="E499"/>
      <c r="F499"/>
      <c r="G499"/>
      <c r="H499"/>
      <c r="I499"/>
      <c r="J499"/>
      <c r="K499"/>
      <c r="L499"/>
      <c r="M499" s="4"/>
      <c r="N499" s="4"/>
      <c r="O499" s="1" t="s">
        <v>489</v>
      </c>
      <c r="P499" s="1" t="s">
        <v>21</v>
      </c>
      <c r="Q499" s="1" t="s">
        <v>21</v>
      </c>
      <c r="R499" s="1" t="s">
        <v>21</v>
      </c>
      <c r="S499" s="1" t="s">
        <v>21</v>
      </c>
      <c r="T499" s="1" t="s">
        <v>21</v>
      </c>
      <c r="U499" s="1" t="s">
        <v>21</v>
      </c>
      <c r="V499" s="1" t="s">
        <v>21</v>
      </c>
      <c r="W499" s="1" t="s">
        <v>21</v>
      </c>
      <c r="X499" s="1" t="s">
        <v>21</v>
      </c>
      <c r="Y499" s="1" t="s">
        <v>21</v>
      </c>
      <c r="Z499" s="4">
        <v>250448736</v>
      </c>
    </row>
    <row r="500" spans="1:26" s="1" customFormat="1" x14ac:dyDescent="0.35">
      <c r="A500"/>
      <c r="B500"/>
      <c r="C500"/>
      <c r="D500"/>
      <c r="E500"/>
      <c r="F500"/>
      <c r="G500"/>
      <c r="H500"/>
      <c r="I500"/>
      <c r="J500"/>
      <c r="K500"/>
      <c r="L500"/>
      <c r="M500" s="4"/>
      <c r="N500" s="4"/>
      <c r="O500" s="1" t="s">
        <v>490</v>
      </c>
      <c r="P500" s="1" t="s">
        <v>21</v>
      </c>
      <c r="Q500" s="1" t="s">
        <v>21</v>
      </c>
      <c r="R500" s="1" t="s">
        <v>21</v>
      </c>
      <c r="S500" s="1" t="s">
        <v>21</v>
      </c>
      <c r="T500" s="1" t="s">
        <v>21</v>
      </c>
      <c r="U500" s="1" t="s">
        <v>21</v>
      </c>
      <c r="V500" s="1" t="s">
        <v>21</v>
      </c>
      <c r="W500" s="1" t="s">
        <v>21</v>
      </c>
      <c r="X500" s="1" t="s">
        <v>21</v>
      </c>
      <c r="Y500" s="1" t="s">
        <v>21</v>
      </c>
      <c r="Z500" s="4">
        <v>128925749</v>
      </c>
    </row>
    <row r="501" spans="1:26" s="1" customFormat="1" x14ac:dyDescent="0.35">
      <c r="A501"/>
      <c r="B501"/>
      <c r="C501"/>
      <c r="D501"/>
      <c r="E501"/>
      <c r="F501"/>
      <c r="G501"/>
      <c r="H501"/>
      <c r="I501"/>
      <c r="J501"/>
      <c r="K501"/>
      <c r="L501"/>
      <c r="O501" s="1" t="s">
        <v>491</v>
      </c>
      <c r="P501" s="1" t="s">
        <v>21</v>
      </c>
      <c r="Q501" s="1" t="s">
        <v>21</v>
      </c>
      <c r="R501" s="1" t="s">
        <v>21</v>
      </c>
      <c r="S501" s="1" t="s">
        <v>21</v>
      </c>
      <c r="T501" s="1" t="s">
        <v>21</v>
      </c>
      <c r="U501" s="1" t="s">
        <v>21</v>
      </c>
      <c r="V501" s="1" t="s">
        <v>21</v>
      </c>
      <c r="W501" s="1" t="s">
        <v>21</v>
      </c>
      <c r="X501" s="1" t="s">
        <v>21</v>
      </c>
      <c r="Y501" s="1" t="s">
        <v>21</v>
      </c>
      <c r="Z501" s="1" t="s">
        <v>21</v>
      </c>
    </row>
    <row r="502" spans="1:26" s="1" customFormat="1" x14ac:dyDescent="0.35">
      <c r="A502"/>
      <c r="B502"/>
      <c r="C502"/>
      <c r="D502"/>
      <c r="E502"/>
      <c r="F502"/>
      <c r="G502"/>
      <c r="H502"/>
      <c r="I502"/>
      <c r="J502"/>
      <c r="K502"/>
      <c r="L502"/>
      <c r="O502" s="1" t="s">
        <v>492</v>
      </c>
      <c r="P502" s="1" t="s">
        <v>21</v>
      </c>
      <c r="Q502" s="1" t="s">
        <v>21</v>
      </c>
      <c r="R502" s="1" t="s">
        <v>21</v>
      </c>
      <c r="S502" s="1" t="s">
        <v>21</v>
      </c>
      <c r="T502" s="1" t="s">
        <v>21</v>
      </c>
      <c r="U502" s="1" t="s">
        <v>21</v>
      </c>
      <c r="V502" s="1" t="s">
        <v>21</v>
      </c>
      <c r="W502" s="1" t="s">
        <v>21</v>
      </c>
      <c r="X502" s="1" t="s">
        <v>21</v>
      </c>
      <c r="Y502" s="1" t="s">
        <v>21</v>
      </c>
      <c r="Z502" s="1" t="s">
        <v>21</v>
      </c>
    </row>
    <row r="503" spans="1:26" s="1" customFormat="1" x14ac:dyDescent="0.35">
      <c r="A503"/>
      <c r="B503"/>
      <c r="C503"/>
      <c r="D503"/>
      <c r="E503"/>
      <c r="F503"/>
      <c r="G503"/>
      <c r="H503"/>
      <c r="I503"/>
      <c r="J503"/>
      <c r="K503"/>
      <c r="L503"/>
      <c r="O503" s="1" t="s">
        <v>493</v>
      </c>
      <c r="P503" s="1" t="s">
        <v>21</v>
      </c>
      <c r="Q503" s="1" t="s">
        <v>21</v>
      </c>
      <c r="R503" s="1" t="s">
        <v>21</v>
      </c>
      <c r="S503" s="1" t="s">
        <v>21</v>
      </c>
      <c r="T503" s="1" t="s">
        <v>21</v>
      </c>
      <c r="U503" s="1" t="s">
        <v>21</v>
      </c>
      <c r="V503" s="1" t="s">
        <v>21</v>
      </c>
      <c r="W503" s="1" t="s">
        <v>21</v>
      </c>
      <c r="X503" s="1" t="s">
        <v>21</v>
      </c>
      <c r="Y503" s="1" t="s">
        <v>21</v>
      </c>
      <c r="Z503" s="1" t="s">
        <v>21</v>
      </c>
    </row>
    <row r="504" spans="1:26" s="1" customFormat="1" x14ac:dyDescent="0.35">
      <c r="A504"/>
      <c r="B504"/>
      <c r="C504"/>
      <c r="D504"/>
      <c r="E504"/>
      <c r="F504"/>
      <c r="G504"/>
      <c r="H504"/>
      <c r="I504"/>
      <c r="J504"/>
      <c r="K504"/>
      <c r="L504"/>
      <c r="M504" s="4"/>
      <c r="N504" s="4"/>
      <c r="O504" s="1" t="s">
        <v>494</v>
      </c>
      <c r="P504" s="1" t="s">
        <v>21</v>
      </c>
      <c r="Q504" s="1" t="s">
        <v>21</v>
      </c>
      <c r="R504" s="1" t="s">
        <v>21</v>
      </c>
      <c r="S504" s="1" t="s">
        <v>21</v>
      </c>
      <c r="T504" s="1" t="s">
        <v>21</v>
      </c>
      <c r="U504" s="1" t="s">
        <v>21</v>
      </c>
      <c r="V504" s="1" t="s">
        <v>21</v>
      </c>
      <c r="W504" s="1" t="s">
        <v>21</v>
      </c>
      <c r="X504" s="1" t="s">
        <v>21</v>
      </c>
      <c r="Y504" s="1" t="s">
        <v>21</v>
      </c>
      <c r="Z504" s="4">
        <v>20103965</v>
      </c>
    </row>
    <row r="505" spans="1:26" s="1" customFormat="1" x14ac:dyDescent="0.35">
      <c r="A505"/>
      <c r="B505"/>
      <c r="C505"/>
      <c r="D505"/>
      <c r="E505"/>
      <c r="F505"/>
      <c r="G505"/>
      <c r="H505"/>
      <c r="I505"/>
      <c r="J505"/>
      <c r="K505"/>
      <c r="L505"/>
      <c r="M505" s="4"/>
      <c r="N505" s="4"/>
      <c r="O505" s="1" t="s">
        <v>495</v>
      </c>
      <c r="P505" s="1" t="s">
        <v>21</v>
      </c>
      <c r="Q505" s="1" t="s">
        <v>21</v>
      </c>
      <c r="R505" s="1" t="s">
        <v>21</v>
      </c>
      <c r="S505" s="1" t="s">
        <v>21</v>
      </c>
      <c r="T505" s="1" t="s">
        <v>21</v>
      </c>
      <c r="U505" s="1" t="s">
        <v>21</v>
      </c>
      <c r="V505" s="1" t="s">
        <v>21</v>
      </c>
      <c r="W505" s="1" t="s">
        <v>21</v>
      </c>
      <c r="X505" s="1" t="s">
        <v>21</v>
      </c>
      <c r="Y505" s="1" t="s">
        <v>21</v>
      </c>
      <c r="Z505" s="4">
        <v>50570650</v>
      </c>
    </row>
    <row r="506" spans="1:26" s="1" customFormat="1" x14ac:dyDescent="0.35">
      <c r="A506"/>
      <c r="B506"/>
      <c r="C506"/>
      <c r="D506"/>
      <c r="E506"/>
      <c r="F506"/>
      <c r="G506"/>
      <c r="H506"/>
      <c r="I506"/>
      <c r="J506"/>
      <c r="K506"/>
      <c r="L506"/>
      <c r="M506" s="4"/>
      <c r="N506" s="4"/>
      <c r="O506" s="1" t="s">
        <v>496</v>
      </c>
      <c r="P506" s="1" t="s">
        <v>21</v>
      </c>
      <c r="Q506" s="1" t="s">
        <v>21</v>
      </c>
      <c r="R506" s="1" t="s">
        <v>21</v>
      </c>
      <c r="S506" s="1" t="s">
        <v>21</v>
      </c>
      <c r="T506" s="1" t="s">
        <v>21</v>
      </c>
      <c r="U506" s="1" t="s">
        <v>21</v>
      </c>
      <c r="V506" s="1" t="s">
        <v>21</v>
      </c>
      <c r="W506" s="1" t="s">
        <v>21</v>
      </c>
      <c r="X506" s="1" t="s">
        <v>21</v>
      </c>
      <c r="Y506" s="1" t="s">
        <v>21</v>
      </c>
      <c r="Z506" s="4">
        <v>258533765</v>
      </c>
    </row>
    <row r="507" spans="1:26" s="1" customFormat="1" x14ac:dyDescent="0.35">
      <c r="A507"/>
      <c r="B507"/>
      <c r="C507"/>
      <c r="D507"/>
      <c r="E507"/>
      <c r="F507"/>
      <c r="G507"/>
      <c r="H507"/>
      <c r="I507"/>
      <c r="J507"/>
      <c r="K507"/>
      <c r="L507"/>
      <c r="M507" s="4"/>
      <c r="N507" s="4"/>
      <c r="O507" s="1" t="s">
        <v>497</v>
      </c>
      <c r="P507" s="1" t="s">
        <v>21</v>
      </c>
      <c r="Q507" s="1" t="s">
        <v>21</v>
      </c>
      <c r="R507" s="1" t="s">
        <v>21</v>
      </c>
      <c r="S507" s="1" t="s">
        <v>21</v>
      </c>
      <c r="T507" s="1" t="s">
        <v>21</v>
      </c>
      <c r="U507" s="1" t="s">
        <v>21</v>
      </c>
      <c r="V507" s="1" t="s">
        <v>21</v>
      </c>
      <c r="W507" s="1" t="s">
        <v>21</v>
      </c>
      <c r="X507" s="1" t="s">
        <v>21</v>
      </c>
      <c r="Y507" s="1" t="s">
        <v>21</v>
      </c>
      <c r="Z507" s="4">
        <v>-9</v>
      </c>
    </row>
    <row r="508" spans="1:26" s="1" customFormat="1" x14ac:dyDescent="0.35">
      <c r="A508"/>
      <c r="B508"/>
      <c r="C508"/>
      <c r="D508"/>
      <c r="E508"/>
      <c r="F508"/>
      <c r="G508"/>
      <c r="H508"/>
      <c r="I508"/>
      <c r="J508"/>
      <c r="K508"/>
      <c r="L508"/>
      <c r="M508" s="4"/>
      <c r="N508" s="4"/>
      <c r="O508" s="1" t="s">
        <v>498</v>
      </c>
      <c r="P508" s="1" t="s">
        <v>21</v>
      </c>
      <c r="Q508" s="1" t="s">
        <v>21</v>
      </c>
      <c r="R508" s="1" t="s">
        <v>21</v>
      </c>
      <c r="S508" s="1" t="s">
        <v>21</v>
      </c>
      <c r="T508" s="1" t="s">
        <v>21</v>
      </c>
      <c r="U508" s="1" t="s">
        <v>21</v>
      </c>
      <c r="V508" s="1" t="s">
        <v>21</v>
      </c>
      <c r="W508" s="1" t="s">
        <v>21</v>
      </c>
      <c r="X508" s="1" t="s">
        <v>21</v>
      </c>
      <c r="Y508" s="1" t="s">
        <v>21</v>
      </c>
      <c r="Z508" s="4">
        <v>-7321484</v>
      </c>
    </row>
    <row r="509" spans="1:26" s="1" customFormat="1" x14ac:dyDescent="0.35">
      <c r="A509"/>
      <c r="B509"/>
      <c r="C509"/>
      <c r="D509"/>
      <c r="E509"/>
      <c r="F509"/>
      <c r="G509"/>
      <c r="H509"/>
      <c r="I509"/>
      <c r="J509"/>
      <c r="K509"/>
      <c r="L509"/>
      <c r="O509" s="1" t="s">
        <v>499</v>
      </c>
      <c r="P509" s="1" t="s">
        <v>21</v>
      </c>
      <c r="Q509" s="1" t="s">
        <v>21</v>
      </c>
      <c r="R509" s="1" t="s">
        <v>21</v>
      </c>
      <c r="S509" s="1" t="s">
        <v>21</v>
      </c>
      <c r="T509" s="1" t="s">
        <v>21</v>
      </c>
      <c r="U509" s="1" t="s">
        <v>21</v>
      </c>
      <c r="V509" s="1" t="s">
        <v>21</v>
      </c>
      <c r="W509" s="1" t="s">
        <v>21</v>
      </c>
      <c r="X509" s="1" t="s">
        <v>21</v>
      </c>
      <c r="Y509" s="1" t="s">
        <v>21</v>
      </c>
      <c r="Z509" s="1" t="s">
        <v>21</v>
      </c>
    </row>
    <row r="510" spans="1:26" s="1" customFormat="1" x14ac:dyDescent="0.35">
      <c r="A510"/>
      <c r="B510"/>
      <c r="C510"/>
      <c r="D510"/>
      <c r="E510"/>
      <c r="F510"/>
      <c r="G510"/>
      <c r="H510"/>
      <c r="I510"/>
      <c r="J510"/>
      <c r="K510"/>
      <c r="L510"/>
      <c r="M510" s="4"/>
      <c r="N510" s="4"/>
      <c r="O510" s="1" t="s">
        <v>500</v>
      </c>
      <c r="P510" s="1" t="s">
        <v>21</v>
      </c>
      <c r="Q510" s="1" t="s">
        <v>21</v>
      </c>
      <c r="R510" s="1" t="s">
        <v>21</v>
      </c>
      <c r="S510" s="1" t="s">
        <v>21</v>
      </c>
      <c r="T510" s="1" t="s">
        <v>21</v>
      </c>
      <c r="U510" s="1" t="s">
        <v>21</v>
      </c>
      <c r="V510" s="1" t="s">
        <v>21</v>
      </c>
      <c r="W510" s="1" t="s">
        <v>21</v>
      </c>
      <c r="X510" s="1" t="s">
        <v>21</v>
      </c>
      <c r="Y510" s="1" t="s">
        <v>21</v>
      </c>
      <c r="Z510" s="4">
        <v>294976851</v>
      </c>
    </row>
    <row r="511" spans="1:26" s="1" customFormat="1" x14ac:dyDescent="0.35">
      <c r="A511"/>
      <c r="B511"/>
      <c r="C511"/>
      <c r="D511"/>
      <c r="E511"/>
      <c r="F511"/>
      <c r="G511"/>
      <c r="H511"/>
      <c r="I511"/>
      <c r="J511"/>
      <c r="K511"/>
      <c r="L511"/>
      <c r="M511" s="4"/>
      <c r="N511" s="4"/>
      <c r="O511" s="1" t="s">
        <v>501</v>
      </c>
      <c r="P511" s="1" t="s">
        <v>21</v>
      </c>
      <c r="Q511" s="1" t="s">
        <v>21</v>
      </c>
      <c r="R511" s="1" t="s">
        <v>21</v>
      </c>
      <c r="S511" s="1" t="s">
        <v>21</v>
      </c>
      <c r="T511" s="1" t="s">
        <v>21</v>
      </c>
      <c r="U511" s="1" t="s">
        <v>21</v>
      </c>
      <c r="V511" s="1" t="s">
        <v>21</v>
      </c>
      <c r="W511" s="1" t="s">
        <v>21</v>
      </c>
      <c r="X511" s="1" t="s">
        <v>21</v>
      </c>
      <c r="Y511" s="1" t="s">
        <v>21</v>
      </c>
      <c r="Z511" s="4">
        <v>2198539202</v>
      </c>
    </row>
    <row r="512" spans="1:26" s="1" customFormat="1" x14ac:dyDescent="0.35">
      <c r="A512"/>
      <c r="B512"/>
      <c r="C512"/>
      <c r="D512"/>
      <c r="E512"/>
      <c r="F512"/>
      <c r="G512"/>
      <c r="H512"/>
      <c r="I512"/>
      <c r="J512"/>
      <c r="K512"/>
      <c r="L512"/>
      <c r="O512" s="1" t="s">
        <v>502</v>
      </c>
      <c r="P512" s="1" t="s">
        <v>21</v>
      </c>
      <c r="Q512" s="1" t="s">
        <v>21</v>
      </c>
      <c r="R512" s="1" t="s">
        <v>21</v>
      </c>
      <c r="S512" s="1" t="s">
        <v>21</v>
      </c>
      <c r="T512" s="1" t="s">
        <v>21</v>
      </c>
      <c r="U512" s="1" t="s">
        <v>21</v>
      </c>
      <c r="V512" s="1" t="s">
        <v>21</v>
      </c>
      <c r="W512" s="1" t="s">
        <v>21</v>
      </c>
      <c r="X512" s="1" t="s">
        <v>21</v>
      </c>
      <c r="Y512" s="1" t="s">
        <v>21</v>
      </c>
      <c r="Z512" s="1" t="s">
        <v>21</v>
      </c>
    </row>
    <row r="513" spans="1:26" s="1" customFormat="1" x14ac:dyDescent="0.35">
      <c r="A513"/>
      <c r="B513"/>
      <c r="C513"/>
      <c r="D513"/>
      <c r="E513"/>
      <c r="F513"/>
      <c r="G513"/>
      <c r="H513"/>
      <c r="I513"/>
      <c r="J513"/>
      <c r="K513"/>
      <c r="L513"/>
      <c r="M513" s="4"/>
      <c r="N513" s="4"/>
      <c r="O513" s="1" t="s">
        <v>503</v>
      </c>
      <c r="P513" s="1" t="s">
        <v>21</v>
      </c>
      <c r="Q513" s="1" t="s">
        <v>21</v>
      </c>
      <c r="R513" s="1" t="s">
        <v>21</v>
      </c>
      <c r="S513" s="1" t="s">
        <v>21</v>
      </c>
      <c r="T513" s="1" t="s">
        <v>21</v>
      </c>
      <c r="U513" s="1" t="s">
        <v>21</v>
      </c>
      <c r="V513" s="1" t="s">
        <v>21</v>
      </c>
      <c r="W513" s="1" t="s">
        <v>21</v>
      </c>
      <c r="X513" s="1" t="s">
        <v>21</v>
      </c>
      <c r="Y513" s="1" t="s">
        <v>21</v>
      </c>
      <c r="Z513" s="4">
        <v>-20689912</v>
      </c>
    </row>
    <row r="514" spans="1:26" s="1" customFormat="1" x14ac:dyDescent="0.35">
      <c r="A514"/>
      <c r="B514"/>
      <c r="C514"/>
      <c r="D514"/>
      <c r="E514"/>
      <c r="F514"/>
      <c r="G514"/>
      <c r="H514"/>
      <c r="I514"/>
      <c r="J514"/>
      <c r="K514"/>
      <c r="L514"/>
      <c r="O514" s="1" t="s">
        <v>504</v>
      </c>
      <c r="P514" s="1" t="s">
        <v>21</v>
      </c>
      <c r="Q514" s="1" t="s">
        <v>21</v>
      </c>
      <c r="R514" s="1" t="s">
        <v>21</v>
      </c>
      <c r="S514" s="1" t="s">
        <v>21</v>
      </c>
      <c r="T514" s="1" t="s">
        <v>21</v>
      </c>
      <c r="U514" s="1" t="s">
        <v>21</v>
      </c>
      <c r="V514" s="1" t="s">
        <v>21</v>
      </c>
      <c r="W514" s="1" t="s">
        <v>21</v>
      </c>
      <c r="X514" s="1" t="s">
        <v>21</v>
      </c>
      <c r="Y514" s="1" t="s">
        <v>21</v>
      </c>
      <c r="Z514" s="1" t="s">
        <v>21</v>
      </c>
    </row>
    <row r="515" spans="1:26" s="1" customFormat="1" x14ac:dyDescent="0.35">
      <c r="A515"/>
      <c r="B515"/>
      <c r="C515"/>
      <c r="D515"/>
      <c r="E515"/>
      <c r="F515"/>
      <c r="G515"/>
      <c r="H515"/>
      <c r="I515"/>
      <c r="J515"/>
      <c r="K515"/>
      <c r="L515"/>
      <c r="M515" s="4"/>
      <c r="N515" s="4"/>
      <c r="O515" s="1" t="s">
        <v>505</v>
      </c>
      <c r="P515" s="1" t="s">
        <v>21</v>
      </c>
      <c r="Q515" s="1" t="s">
        <v>21</v>
      </c>
      <c r="R515" s="1" t="s">
        <v>21</v>
      </c>
      <c r="S515" s="1" t="s">
        <v>21</v>
      </c>
      <c r="T515" s="1" t="s">
        <v>21</v>
      </c>
      <c r="U515" s="1" t="s">
        <v>21</v>
      </c>
      <c r="V515" s="1" t="s">
        <v>21</v>
      </c>
      <c r="W515" s="1" t="s">
        <v>21</v>
      </c>
      <c r="X515" s="1" t="s">
        <v>21</v>
      </c>
      <c r="Y515" s="1" t="s">
        <v>21</v>
      </c>
      <c r="Z515" s="4">
        <v>398317277</v>
      </c>
    </row>
    <row r="516" spans="1:26" s="1" customFormat="1" x14ac:dyDescent="0.35">
      <c r="A516"/>
      <c r="B516"/>
      <c r="C516"/>
      <c r="D516"/>
      <c r="E516"/>
      <c r="F516"/>
      <c r="G516"/>
      <c r="H516"/>
      <c r="I516"/>
      <c r="J516"/>
      <c r="K516"/>
      <c r="L516"/>
      <c r="M516" s="4"/>
      <c r="N516" s="4"/>
      <c r="O516" s="1" t="s">
        <v>506</v>
      </c>
      <c r="P516" s="1" t="s">
        <v>21</v>
      </c>
      <c r="Q516" s="1" t="s">
        <v>21</v>
      </c>
      <c r="R516" s="1" t="s">
        <v>21</v>
      </c>
      <c r="S516" s="1" t="s">
        <v>21</v>
      </c>
      <c r="T516" s="1" t="s">
        <v>21</v>
      </c>
      <c r="U516" s="1" t="s">
        <v>21</v>
      </c>
      <c r="V516" s="1" t="s">
        <v>21</v>
      </c>
      <c r="W516" s="1" t="s">
        <v>21</v>
      </c>
      <c r="X516" s="1" t="s">
        <v>21</v>
      </c>
      <c r="Y516" s="1" t="s">
        <v>21</v>
      </c>
      <c r="Z516" s="4">
        <v>41644592</v>
      </c>
    </row>
    <row r="517" spans="1:26" s="1" customFormat="1" x14ac:dyDescent="0.35">
      <c r="A517"/>
      <c r="B517"/>
      <c r="C517"/>
      <c r="D517"/>
      <c r="E517"/>
      <c r="F517"/>
      <c r="G517"/>
      <c r="H517"/>
      <c r="I517"/>
      <c r="J517"/>
      <c r="K517"/>
      <c r="L517"/>
      <c r="M517" s="4"/>
      <c r="N517" s="4"/>
      <c r="O517" s="1" t="s">
        <v>507</v>
      </c>
      <c r="P517" s="1" t="s">
        <v>21</v>
      </c>
      <c r="Q517" s="1" t="s">
        <v>21</v>
      </c>
      <c r="R517" s="1" t="s">
        <v>21</v>
      </c>
      <c r="S517" s="1" t="s">
        <v>21</v>
      </c>
      <c r="T517" s="1" t="s">
        <v>21</v>
      </c>
      <c r="U517" s="1" t="s">
        <v>21</v>
      </c>
      <c r="V517" s="1" t="s">
        <v>21</v>
      </c>
      <c r="W517" s="1" t="s">
        <v>21</v>
      </c>
      <c r="X517" s="1" t="s">
        <v>21</v>
      </c>
      <c r="Y517" s="1" t="s">
        <v>21</v>
      </c>
      <c r="Z517" s="4">
        <v>156632808</v>
      </c>
    </row>
    <row r="518" spans="1:26" s="1" customFormat="1" x14ac:dyDescent="0.35">
      <c r="A518"/>
      <c r="B518"/>
      <c r="C518"/>
      <c r="D518"/>
      <c r="E518"/>
      <c r="F518"/>
      <c r="G518"/>
      <c r="H518"/>
      <c r="I518"/>
      <c r="J518"/>
      <c r="K518"/>
      <c r="L518"/>
      <c r="M518" s="4"/>
      <c r="N518" s="4"/>
      <c r="O518" s="1" t="s">
        <v>508</v>
      </c>
      <c r="P518" s="1" t="s">
        <v>21</v>
      </c>
      <c r="Q518" s="1" t="s">
        <v>21</v>
      </c>
      <c r="R518" s="1" t="s">
        <v>21</v>
      </c>
      <c r="S518" s="1" t="s">
        <v>21</v>
      </c>
      <c r="T518" s="1" t="s">
        <v>21</v>
      </c>
      <c r="U518" s="1" t="s">
        <v>21</v>
      </c>
      <c r="V518" s="1" t="s">
        <v>21</v>
      </c>
      <c r="W518" s="1" t="s">
        <v>21</v>
      </c>
      <c r="X518" s="1" t="s">
        <v>21</v>
      </c>
      <c r="Y518" s="1" t="s">
        <v>21</v>
      </c>
      <c r="Z518" s="4">
        <v>-21234293</v>
      </c>
    </row>
    <row r="519" spans="1:26" s="1" customFormat="1" x14ac:dyDescent="0.35">
      <c r="A519"/>
      <c r="B519"/>
      <c r="C519"/>
      <c r="D519"/>
      <c r="E519"/>
      <c r="F519"/>
      <c r="G519"/>
      <c r="H519"/>
      <c r="I519"/>
      <c r="J519"/>
      <c r="K519"/>
      <c r="L519"/>
      <c r="M519" s="4"/>
      <c r="N519" s="4"/>
      <c r="O519" s="1" t="s">
        <v>509</v>
      </c>
      <c r="P519" s="1" t="s">
        <v>21</v>
      </c>
      <c r="Q519" s="1" t="s">
        <v>21</v>
      </c>
      <c r="R519" s="1" t="s">
        <v>21</v>
      </c>
      <c r="S519" s="1" t="s">
        <v>21</v>
      </c>
      <c r="T519" s="1" t="s">
        <v>21</v>
      </c>
      <c r="U519" s="1" t="s">
        <v>21</v>
      </c>
      <c r="V519" s="1" t="s">
        <v>21</v>
      </c>
      <c r="W519" s="1" t="s">
        <v>21</v>
      </c>
      <c r="X519" s="1" t="s">
        <v>21</v>
      </c>
      <c r="Y519" s="1" t="s">
        <v>21</v>
      </c>
      <c r="Z519" s="4">
        <v>37493165</v>
      </c>
    </row>
    <row r="520" spans="1:26" s="1" customFormat="1" x14ac:dyDescent="0.35">
      <c r="A520"/>
      <c r="B520"/>
      <c r="C520"/>
      <c r="D520"/>
      <c r="E520"/>
      <c r="F520"/>
      <c r="G520"/>
      <c r="H520"/>
      <c r="I520"/>
      <c r="J520"/>
      <c r="K520"/>
      <c r="L520"/>
      <c r="O520" s="1" t="s">
        <v>510</v>
      </c>
      <c r="P520" s="1" t="s">
        <v>21</v>
      </c>
      <c r="Q520" s="1" t="s">
        <v>21</v>
      </c>
      <c r="R520" s="1" t="s">
        <v>21</v>
      </c>
      <c r="S520" s="1" t="s">
        <v>21</v>
      </c>
      <c r="T520" s="1" t="s">
        <v>21</v>
      </c>
      <c r="U520" s="1" t="s">
        <v>21</v>
      </c>
      <c r="V520" s="1" t="s">
        <v>21</v>
      </c>
      <c r="W520" s="1" t="s">
        <v>21</v>
      </c>
      <c r="X520" s="1" t="s">
        <v>21</v>
      </c>
      <c r="Y520" s="1" t="s">
        <v>21</v>
      </c>
      <c r="Z520" s="1" t="s">
        <v>21</v>
      </c>
    </row>
    <row r="521" spans="1:26" s="1" customFormat="1" x14ac:dyDescent="0.35">
      <c r="A521"/>
      <c r="B521"/>
      <c r="C521"/>
      <c r="D521"/>
      <c r="E521"/>
      <c r="F521"/>
      <c r="G521"/>
      <c r="H521"/>
      <c r="I521"/>
      <c r="J521"/>
      <c r="K521"/>
      <c r="L521"/>
      <c r="M521" s="4"/>
      <c r="N521" s="4"/>
      <c r="O521" s="1" t="s">
        <v>511</v>
      </c>
      <c r="P521" s="1" t="s">
        <v>21</v>
      </c>
      <c r="Q521" s="1" t="s">
        <v>21</v>
      </c>
      <c r="R521" s="1" t="s">
        <v>21</v>
      </c>
      <c r="S521" s="1" t="s">
        <v>21</v>
      </c>
      <c r="T521" s="1" t="s">
        <v>21</v>
      </c>
      <c r="U521" s="1" t="s">
        <v>21</v>
      </c>
      <c r="V521" s="1" t="s">
        <v>21</v>
      </c>
      <c r="W521" s="1" t="s">
        <v>21</v>
      </c>
      <c r="X521" s="1" t="s">
        <v>21</v>
      </c>
      <c r="Y521" s="1" t="s">
        <v>21</v>
      </c>
      <c r="Z521" s="4">
        <v>13628692</v>
      </c>
    </row>
    <row r="523" spans="1:26" s="2" customFormat="1" x14ac:dyDescent="0.35">
      <c r="A523"/>
      <c r="B523"/>
      <c r="C523"/>
      <c r="D523"/>
      <c r="E523"/>
      <c r="F523"/>
      <c r="G523"/>
      <c r="H523"/>
      <c r="I523"/>
      <c r="J523"/>
      <c r="K523"/>
      <c r="L523"/>
    </row>
  </sheetData>
  <mergeCells count="1">
    <mergeCell ref="B25:L25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Hayman (Denker)</cp:lastModifiedBy>
  <dcterms:modified xsi:type="dcterms:W3CDTF">2026-01-30T10:19:16Z</dcterms:modified>
</cp:coreProperties>
</file>